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OneDrive\Desktop\INTERN PROJECT\"/>
    </mc:Choice>
  </mc:AlternateContent>
  <xr:revisionPtr revIDLastSave="0" documentId="13_ncr:1_{7B175524-BD8A-4FFA-8EAA-F3FF65669ACF}" xr6:coauthVersionLast="47" xr6:coauthVersionMax="47" xr10:uidLastSave="{00000000-0000-0000-0000-000000000000}"/>
  <bookViews>
    <workbookView xWindow="-110" yWindow="-110" windowWidth="19420" windowHeight="11020" xr2:uid="{C9C91798-3C97-48C3-987D-09E8F658871A}"/>
  </bookViews>
  <sheets>
    <sheet name="Raw Data" sheetId="1" r:id="rId1"/>
  </sheets>
  <definedNames>
    <definedName name="_xlcn.WorksheetConnection_SalesPerformanceX.xlsxTable11" hidden="1">Table1[]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Raw Data" connection="WorksheetConnection_Sales Performance - X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D90C9C-7078-41F1-843A-4415D977D37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3A7F3AA-F1D0-449B-B4D1-D8B833CDB118}" name="WorksheetConnection_Sales Performance - X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SalesPerformanceX.xlsxTable11"/>
        </x15:connection>
      </ext>
    </extLst>
  </connection>
</connections>
</file>

<file path=xl/sharedStrings.xml><?xml version="1.0" encoding="utf-8"?>
<sst xmlns="http://schemas.openxmlformats.org/spreadsheetml/2006/main" count="1217" uniqueCount="64">
  <si>
    <t>Date</t>
  </si>
  <si>
    <t>Product Name</t>
  </si>
  <si>
    <t>Category</t>
  </si>
  <si>
    <t>Sales Representative</t>
  </si>
  <si>
    <t>Region</t>
  </si>
  <si>
    <t>Quantity Sold</t>
  </si>
  <si>
    <t>Unit Price</t>
  </si>
  <si>
    <t>Total Sale</t>
  </si>
  <si>
    <t>Cost Price</t>
  </si>
  <si>
    <t>Profit</t>
  </si>
  <si>
    <t>Payment Method</t>
  </si>
  <si>
    <t>Order Status</t>
  </si>
  <si>
    <t>Region Manager</t>
  </si>
  <si>
    <t>Customer Type</t>
  </si>
  <si>
    <t>Table</t>
  </si>
  <si>
    <t>Home Goods</t>
  </si>
  <si>
    <t>Charlie</t>
  </si>
  <si>
    <t>West</t>
  </si>
  <si>
    <t>Credit Card</t>
  </si>
  <si>
    <t>Completed</t>
  </si>
  <si>
    <t>Lisa White</t>
  </si>
  <si>
    <t>Regular</t>
  </si>
  <si>
    <t>Curtains</t>
  </si>
  <si>
    <t>Bob</t>
  </si>
  <si>
    <t>East</t>
  </si>
  <si>
    <t>Cash</t>
  </si>
  <si>
    <t>Pending</t>
  </si>
  <si>
    <t>Tom Brown</t>
  </si>
  <si>
    <t>VIP</t>
  </si>
  <si>
    <t>Sneakers</t>
  </si>
  <si>
    <t>Clothing</t>
  </si>
  <si>
    <t>South</t>
  </si>
  <si>
    <t>Online Transfer</t>
  </si>
  <si>
    <t>Cancelled</t>
  </si>
  <si>
    <t>Mark Davis</t>
  </si>
  <si>
    <t>New</t>
  </si>
  <si>
    <t>Chair</t>
  </si>
  <si>
    <t>Sarah Johnson</t>
  </si>
  <si>
    <t>Lamp</t>
  </si>
  <si>
    <t>Laptop</t>
  </si>
  <si>
    <t>Electronics</t>
  </si>
  <si>
    <t>T-Shirt</t>
  </si>
  <si>
    <t>Alice</t>
  </si>
  <si>
    <t>Yoga Mat</t>
  </si>
  <si>
    <t>Sports</t>
  </si>
  <si>
    <t>Tennis Racket</t>
  </si>
  <si>
    <t>North</t>
  </si>
  <si>
    <t>Dumbbells</t>
  </si>
  <si>
    <t>Eve</t>
  </si>
  <si>
    <t>Diana</t>
  </si>
  <si>
    <t>Smartphone</t>
  </si>
  <si>
    <t>Perfume</t>
  </si>
  <si>
    <t>Beauty</t>
  </si>
  <si>
    <t>Camera</t>
  </si>
  <si>
    <t>Headphones</t>
  </si>
  <si>
    <t>Football</t>
  </si>
  <si>
    <t>Shampoo</t>
  </si>
  <si>
    <t>Jeans</t>
  </si>
  <si>
    <t>Face Cream</t>
  </si>
  <si>
    <t>Jacket</t>
  </si>
  <si>
    <t>Lipstick</t>
  </si>
  <si>
    <t>CompletedFlag</t>
  </si>
  <si>
    <t>CancelledFlag</t>
  </si>
  <si>
    <t>PendingFlag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</si>
</sst>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Aptos Narrow"/>
      <family val="2"/>
      <scheme val="minor"/>
    </font>
    <font>
      <b/>
      <sz val="11"/>
      <color theme="0"/>
      <name val="Kulim Park"/>
    </font>
    <font>
      <sz val="11"/>
      <color theme="1"/>
      <name val="Kulim Park"/>
    </font>
    <font>
      <sz val="11"/>
      <color theme="1"/>
      <name val="Kulim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rgb="FFD9D8C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ulim Park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ulim Park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ulim Park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ulim Park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ulim Park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ulim Park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ulim Park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ulim Park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ulim Park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ulim Park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ulim Park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ulim Park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ulim Park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ulim Park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ulim Park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ulim Park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ulim Park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ulim Park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Kulim Park"/>
        <scheme val="none"/>
      </font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</dxf>
    <dxf>
      <fill>
        <patternFill>
          <fgColor rgb="FF022213"/>
          <bgColor rgb="FF022213"/>
        </patternFill>
      </fill>
    </dxf>
    <dxf>
      <fill>
        <patternFill>
          <fgColor rgb="FF022213"/>
          <bgColor rgb="FF022213"/>
        </patternFill>
      </fill>
    </dxf>
  </dxfs>
  <tableStyles count="1" defaultTableStyle="TableStyleMedium2" defaultPivotStyle="PivotStyleLight16">
    <tableStyle name="Slicer Style 2" pivot="0" table="0" count="10" xr9:uid="{231E1763-07CD-4296-9DEE-628C39514F04}">
      <tableStyleElement type="wholeTable" dxfId="20"/>
      <tableStyleElement type="headerRow" dxfId="19"/>
    </tableStyle>
  </tableStyles>
  <colors>
    <mruColors>
      <color rgb="FF022213"/>
      <color rgb="FF9999FF"/>
      <color rgb="FFAFE03C"/>
      <color rgb="FFFF6600"/>
      <color rgb="FFFFFFFF"/>
      <color rgb="FFD9D8C7"/>
      <color rgb="FF009999"/>
      <color rgb="FFD8D9C7"/>
      <color rgb="FF56AC00"/>
      <color rgb="FF5CB800"/>
    </mruColors>
  </colors>
  <extLst>
    <ext xmlns:x14="http://schemas.microsoft.com/office/spreadsheetml/2009/9/main" uri="{46F421CA-312F-682f-3DD2-61675219B42D}">
      <x14:dxfs count="8">
        <dxf>
          <font>
            <color theme="0"/>
            <name val="Kulim Park"/>
            <scheme val="none"/>
          </font>
          <border>
            <left style="thick">
              <color rgb="FFAFE03C"/>
            </left>
          </border>
        </dxf>
        <dxf>
          <fill>
            <patternFill>
              <fgColor rgb="FF022213"/>
              <bgColor rgb="FF022213"/>
            </patternFill>
          </fill>
          <border>
            <left style="thick">
              <color rgb="FFAFE03C"/>
            </left>
          </border>
        </dxf>
        <dxf>
          <font>
            <b val="0"/>
            <i val="0"/>
            <sz val="13"/>
            <color theme="0"/>
            <name val="Kulim Park"/>
            <scheme val="none"/>
          </font>
          <border>
            <left style="thick">
              <color rgb="FFAFE03C"/>
            </left>
          </border>
        </dxf>
        <dxf>
          <font>
            <sz val="13"/>
            <color theme="0"/>
            <name val="Kulim Park"/>
            <scheme val="none"/>
          </font>
          <border>
            <left style="thick">
              <color rgb="FFAFE03C"/>
            </left>
          </border>
        </dxf>
        <dxf>
          <font>
            <sz val="10"/>
            <color theme="0"/>
            <name val="Kulim Park"/>
            <scheme val="none"/>
          </font>
        </dxf>
        <dxf>
          <font>
            <b/>
            <i val="0"/>
            <sz val="13"/>
            <color theme="0"/>
            <name val="Kulim Park"/>
            <scheme val="none"/>
          </font>
          <border>
            <left style="thick">
              <color rgb="FFAFE03C"/>
            </left>
          </border>
        </dxf>
        <dxf>
          <font>
            <color theme="0"/>
          </font>
          <fill>
            <patternFill>
              <fgColor rgb="FF022213"/>
              <bgColor rgb="FF022213"/>
            </patternFill>
          </fill>
        </dxf>
        <dxf>
          <font>
            <color theme="0"/>
            <name val="Kulim Park"/>
            <scheme val="none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4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" Type="http://schemas.openxmlformats.org/officeDocument/2006/relationships/theme" Target="theme/theme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styles" Target="style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3F1EF7-C2E6-41BC-A56F-685E15152FD5}" name="Table1" displayName="Table1" ref="A1:Q151" totalsRowShown="0" headerRowDxfId="18" dataDxfId="17">
  <tableColumns count="17">
    <tableColumn id="1" xr3:uid="{99942BD4-7364-4332-A1BC-49A952D46B7E}" name="Date" dataDxfId="16"/>
    <tableColumn id="2" xr3:uid="{CFFEBAE4-AF21-4BA9-A06F-C8F913485F38}" name="Product Name" dataDxfId="15"/>
    <tableColumn id="3" xr3:uid="{A1EBDF4F-CF5C-4FBF-B9FF-2C98B12DB7F7}" name="Category" dataDxfId="14"/>
    <tableColumn id="4" xr3:uid="{2F20D7C0-DBD3-4FAA-8D0C-738ADFAB7854}" name="Sales Representative" dataDxfId="13"/>
    <tableColumn id="5" xr3:uid="{34AEE0DD-468A-4C4D-9F3D-C2DA12244610}" name="Region" dataDxfId="12"/>
    <tableColumn id="6" xr3:uid="{BF5FC9D1-9F9A-4D0B-9628-EAC0C79483D3}" name="Quantity Sold" dataDxfId="11"/>
    <tableColumn id="7" xr3:uid="{46E13AD7-B583-457B-AF93-A9DB1BC36E2F}" name="Unit Price" dataDxfId="10"/>
    <tableColumn id="8" xr3:uid="{50A93689-037E-4C11-B330-D1BE81008B18}" name="Total Sale" dataDxfId="9"/>
    <tableColumn id="9" xr3:uid="{23530E72-0A77-4917-9C52-C1E1CF827FD0}" name="Cost Price" dataDxfId="8"/>
    <tableColumn id="10" xr3:uid="{3A50ACCF-2E57-4817-9B7A-F2F716096DB6}" name="Profit" dataDxfId="7"/>
    <tableColumn id="11" xr3:uid="{2BAE1E96-6210-4E54-B107-0001EBD9FF79}" name="Payment Method" dataDxfId="6"/>
    <tableColumn id="12" xr3:uid="{D269DF80-E7EF-4355-BE4A-393BB4CA806F}" name="Order Status" dataDxfId="5"/>
    <tableColumn id="15" xr3:uid="{3056028B-04A7-4625-998C-B376B704EE17}" name="CompletedFlag" dataDxfId="4">
      <calculatedColumnFormula>IF(L2="Completed",1,0)</calculatedColumnFormula>
    </tableColumn>
    <tableColumn id="17" xr3:uid="{286D107C-C689-40D5-8958-42A87316F9B9}" name="PendingFlag" dataDxfId="3">
      <calculatedColumnFormula>IF(L2="Pending",1,0)</calculatedColumnFormula>
    </tableColumn>
    <tableColumn id="16" xr3:uid="{C7B144F2-3204-4E64-9680-530B9E8389EE}" name="CancelledFlag" dataDxfId="2">
      <calculatedColumnFormula>IF(L2="Cancelled",1,0)</calculatedColumnFormula>
    </tableColumn>
    <tableColumn id="13" xr3:uid="{4A494894-A8EC-41B9-BDE0-50FA74DC2EE1}" name="Region Manager" dataDxfId="1"/>
    <tableColumn id="14" xr3:uid="{654A125A-6F0E-415E-BB82-2B46AE6B9A0C}" name="Customer Typ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2D09C-3CF3-4A36-BEA5-2C4386EDF7D1}">
  <sheetPr>
    <tabColor theme="0"/>
  </sheetPr>
  <dimension ref="A1:S151"/>
  <sheetViews>
    <sheetView tabSelected="1" topLeftCell="O1" zoomScale="84" zoomScaleNormal="84" workbookViewId="0">
      <selection activeCell="S10" sqref="S10"/>
    </sheetView>
  </sheetViews>
  <sheetFormatPr defaultColWidth="9.1796875" defaultRowHeight="14.5"/>
  <cols>
    <col min="1" max="1" width="13.26953125" style="3" bestFit="1" customWidth="1"/>
    <col min="2" max="2" width="17.453125" style="3" customWidth="1"/>
    <col min="3" max="3" width="13.54296875" style="3" bestFit="1" customWidth="1"/>
    <col min="4" max="4" width="25" style="3" customWidth="1"/>
    <col min="5" max="5" width="10.453125" style="3" customWidth="1"/>
    <col min="6" max="6" width="16.7265625" style="3" customWidth="1"/>
    <col min="7" max="7" width="13.1796875" style="3" customWidth="1"/>
    <col min="8" max="8" width="13.26953125" style="3" customWidth="1"/>
    <col min="9" max="9" width="13.7265625" style="3" customWidth="1"/>
    <col min="10" max="10" width="8.7265625" style="3" customWidth="1"/>
    <col min="11" max="11" width="20" style="3" customWidth="1"/>
    <col min="12" max="12" width="16.1796875" style="3" customWidth="1"/>
    <col min="13" max="13" width="17.36328125" style="3" customWidth="1"/>
    <col min="14" max="15" width="16.1796875" style="3" customWidth="1"/>
    <col min="16" max="16" width="19.81640625" style="3" customWidth="1"/>
    <col min="17" max="17" width="18.54296875" style="3" customWidth="1"/>
    <col min="18" max="18" width="9.1796875" style="3"/>
    <col min="19" max="19" width="28.7265625" style="3" customWidth="1"/>
    <col min="20" max="16384" width="9.1796875" style="3"/>
  </cols>
  <sheetData>
    <row r="1" spans="1:1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61</v>
      </c>
      <c r="N1" s="5" t="s">
        <v>63</v>
      </c>
      <c r="O1" s="5" t="s">
        <v>62</v>
      </c>
      <c r="P1" s="5" t="s">
        <v>12</v>
      </c>
      <c r="Q1" s="5" t="s">
        <v>13</v>
      </c>
    </row>
    <row r="2" spans="1:19">
      <c r="A2" s="1">
        <v>45313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1</v>
      </c>
      <c r="G2" s="2">
        <v>91.81</v>
      </c>
      <c r="H2" s="2">
        <v>91.81</v>
      </c>
      <c r="I2" s="2">
        <v>51.81</v>
      </c>
      <c r="J2" s="2">
        <v>40</v>
      </c>
      <c r="K2" s="2" t="s">
        <v>18</v>
      </c>
      <c r="L2" s="2" t="s">
        <v>19</v>
      </c>
      <c r="M2" s="2">
        <f t="shared" ref="M2:M33" si="0">IF(L2="Completed",1,0)</f>
        <v>1</v>
      </c>
      <c r="N2" s="2">
        <f t="shared" ref="N2:N33" si="1">IF(L2="Pending",1,0)</f>
        <v>0</v>
      </c>
      <c r="O2" s="2">
        <f t="shared" ref="O2:O33" si="2">IF(L2="Cancelled",1,0)</f>
        <v>0</v>
      </c>
      <c r="P2" s="2" t="s">
        <v>20</v>
      </c>
      <c r="Q2" s="2" t="s">
        <v>21</v>
      </c>
    </row>
    <row r="3" spans="1:19" ht="24.75" customHeight="1">
      <c r="A3" s="1">
        <v>45571</v>
      </c>
      <c r="B3" s="2" t="s">
        <v>22</v>
      </c>
      <c r="C3" s="2" t="s">
        <v>15</v>
      </c>
      <c r="D3" s="2" t="s">
        <v>23</v>
      </c>
      <c r="E3" s="2" t="s">
        <v>24</v>
      </c>
      <c r="F3" s="2">
        <v>9</v>
      </c>
      <c r="G3" s="2">
        <v>462.17</v>
      </c>
      <c r="H3" s="2">
        <v>4159.53</v>
      </c>
      <c r="I3" s="2">
        <v>4099.53</v>
      </c>
      <c r="J3" s="2">
        <v>60</v>
      </c>
      <c r="K3" s="2" t="s">
        <v>25</v>
      </c>
      <c r="L3" s="2" t="s">
        <v>26</v>
      </c>
      <c r="M3" s="2">
        <f t="shared" si="0"/>
        <v>0</v>
      </c>
      <c r="N3" s="2">
        <f t="shared" si="1"/>
        <v>1</v>
      </c>
      <c r="O3" s="2">
        <f t="shared" si="2"/>
        <v>0</v>
      </c>
      <c r="P3" s="2" t="s">
        <v>27</v>
      </c>
      <c r="Q3" s="2" t="s">
        <v>28</v>
      </c>
    </row>
    <row r="4" spans="1:19">
      <c r="A4" s="1">
        <v>45615</v>
      </c>
      <c r="B4" s="2" t="s">
        <v>29</v>
      </c>
      <c r="C4" s="2" t="s">
        <v>30</v>
      </c>
      <c r="D4" s="2" t="s">
        <v>23</v>
      </c>
      <c r="E4" s="2" t="s">
        <v>31</v>
      </c>
      <c r="F4" s="2">
        <v>7</v>
      </c>
      <c r="G4" s="2">
        <v>198.67</v>
      </c>
      <c r="H4" s="2">
        <v>1390.69</v>
      </c>
      <c r="I4" s="2">
        <v>1325.19</v>
      </c>
      <c r="J4" s="2">
        <v>65.5</v>
      </c>
      <c r="K4" s="2" t="s">
        <v>32</v>
      </c>
      <c r="L4" s="2" t="s">
        <v>33</v>
      </c>
      <c r="M4" s="2">
        <f t="shared" si="0"/>
        <v>0</v>
      </c>
      <c r="N4" s="2">
        <f t="shared" si="1"/>
        <v>0</v>
      </c>
      <c r="O4" s="2">
        <f t="shared" si="2"/>
        <v>1</v>
      </c>
      <c r="P4" s="2" t="s">
        <v>34</v>
      </c>
      <c r="Q4" s="2" t="s">
        <v>35</v>
      </c>
    </row>
    <row r="5" spans="1:19">
      <c r="A5" s="1">
        <v>45530</v>
      </c>
      <c r="B5" s="2" t="s">
        <v>36</v>
      </c>
      <c r="C5" s="2" t="s">
        <v>15</v>
      </c>
      <c r="D5" s="2" t="s">
        <v>23</v>
      </c>
      <c r="E5" s="2" t="s">
        <v>31</v>
      </c>
      <c r="F5" s="2">
        <v>6</v>
      </c>
      <c r="G5" s="2">
        <v>125.67</v>
      </c>
      <c r="H5" s="2">
        <v>754.02</v>
      </c>
      <c r="I5" s="2">
        <v>705.02</v>
      </c>
      <c r="J5" s="2">
        <v>49</v>
      </c>
      <c r="K5" s="2" t="s">
        <v>18</v>
      </c>
      <c r="L5" s="2" t="s">
        <v>19</v>
      </c>
      <c r="M5" s="2">
        <f t="shared" si="0"/>
        <v>1</v>
      </c>
      <c r="N5" s="2">
        <f t="shared" si="1"/>
        <v>0</v>
      </c>
      <c r="O5" s="2">
        <f t="shared" si="2"/>
        <v>0</v>
      </c>
      <c r="P5" s="2" t="s">
        <v>37</v>
      </c>
      <c r="Q5" s="2" t="s">
        <v>21</v>
      </c>
    </row>
    <row r="6" spans="1:19">
      <c r="A6" s="1">
        <v>45502</v>
      </c>
      <c r="B6" s="2" t="s">
        <v>38</v>
      </c>
      <c r="C6" s="2" t="s">
        <v>15</v>
      </c>
      <c r="D6" s="2" t="s">
        <v>23</v>
      </c>
      <c r="E6" s="2" t="s">
        <v>24</v>
      </c>
      <c r="F6" s="2">
        <v>5</v>
      </c>
      <c r="G6" s="2">
        <v>244.72</v>
      </c>
      <c r="H6" s="2">
        <v>1223.5999999999999</v>
      </c>
      <c r="I6" s="2">
        <v>1183.5999999999999</v>
      </c>
      <c r="J6" s="2">
        <v>40</v>
      </c>
      <c r="K6" s="2" t="s">
        <v>25</v>
      </c>
      <c r="L6" s="2" t="s">
        <v>26</v>
      </c>
      <c r="M6" s="2">
        <f t="shared" si="0"/>
        <v>0</v>
      </c>
      <c r="N6" s="2">
        <f t="shared" si="1"/>
        <v>1</v>
      </c>
      <c r="O6" s="2">
        <f t="shared" si="2"/>
        <v>0</v>
      </c>
      <c r="P6" s="2" t="s">
        <v>20</v>
      </c>
      <c r="Q6" s="2" t="s">
        <v>28</v>
      </c>
      <c r="S6" s="6"/>
    </row>
    <row r="7" spans="1:19">
      <c r="A7" s="1">
        <v>45633</v>
      </c>
      <c r="B7" s="2" t="s">
        <v>39</v>
      </c>
      <c r="C7" s="2" t="s">
        <v>40</v>
      </c>
      <c r="D7" s="2" t="s">
        <v>23</v>
      </c>
      <c r="E7" s="2" t="s">
        <v>24</v>
      </c>
      <c r="F7" s="2">
        <v>3</v>
      </c>
      <c r="G7" s="2">
        <v>117.66</v>
      </c>
      <c r="H7" s="2">
        <v>352.98</v>
      </c>
      <c r="I7" s="2">
        <v>292.98</v>
      </c>
      <c r="J7" s="2">
        <v>60</v>
      </c>
      <c r="K7" s="2" t="s">
        <v>32</v>
      </c>
      <c r="L7" s="2" t="s">
        <v>19</v>
      </c>
      <c r="M7" s="2">
        <f t="shared" si="0"/>
        <v>1</v>
      </c>
      <c r="N7" s="2">
        <f t="shared" si="1"/>
        <v>0</v>
      </c>
      <c r="O7" s="2">
        <f t="shared" si="2"/>
        <v>0</v>
      </c>
      <c r="P7" s="2" t="s">
        <v>27</v>
      </c>
      <c r="Q7" s="2" t="s">
        <v>35</v>
      </c>
      <c r="S7" s="4"/>
    </row>
    <row r="8" spans="1:19">
      <c r="A8" s="1">
        <v>45402</v>
      </c>
      <c r="B8" s="2" t="s">
        <v>41</v>
      </c>
      <c r="C8" s="2" t="s">
        <v>30</v>
      </c>
      <c r="D8" s="2" t="s">
        <v>42</v>
      </c>
      <c r="E8" s="2" t="s">
        <v>31</v>
      </c>
      <c r="F8" s="2">
        <v>5</v>
      </c>
      <c r="G8" s="2">
        <v>249.15</v>
      </c>
      <c r="H8" s="2">
        <v>1245.75</v>
      </c>
      <c r="I8" s="2">
        <v>1180.25</v>
      </c>
      <c r="J8" s="2">
        <v>65.5</v>
      </c>
      <c r="K8" s="2" t="s">
        <v>18</v>
      </c>
      <c r="L8" s="2" t="s">
        <v>33</v>
      </c>
      <c r="M8" s="2">
        <f t="shared" si="0"/>
        <v>0</v>
      </c>
      <c r="N8" s="2">
        <f t="shared" si="1"/>
        <v>0</v>
      </c>
      <c r="O8" s="2">
        <f t="shared" si="2"/>
        <v>1</v>
      </c>
      <c r="P8" s="2" t="s">
        <v>34</v>
      </c>
      <c r="Q8" s="2" t="s">
        <v>21</v>
      </c>
    </row>
    <row r="9" spans="1:19">
      <c r="A9" s="1">
        <v>45614</v>
      </c>
      <c r="B9" s="2" t="s">
        <v>43</v>
      </c>
      <c r="C9" s="2" t="s">
        <v>44</v>
      </c>
      <c r="D9" s="2" t="s">
        <v>23</v>
      </c>
      <c r="E9" s="2" t="s">
        <v>24</v>
      </c>
      <c r="F9" s="2">
        <v>5</v>
      </c>
      <c r="G9" s="2">
        <v>337.68</v>
      </c>
      <c r="H9" s="2">
        <v>1688.4</v>
      </c>
      <c r="I9" s="2">
        <v>1639.4</v>
      </c>
      <c r="J9" s="2">
        <v>49</v>
      </c>
      <c r="K9" s="2" t="s">
        <v>25</v>
      </c>
      <c r="L9" s="2" t="s">
        <v>19</v>
      </c>
      <c r="M9" s="2">
        <f t="shared" si="0"/>
        <v>1</v>
      </c>
      <c r="N9" s="2">
        <f t="shared" si="1"/>
        <v>0</v>
      </c>
      <c r="O9" s="2">
        <f t="shared" si="2"/>
        <v>0</v>
      </c>
      <c r="P9" s="2" t="s">
        <v>37</v>
      </c>
      <c r="Q9" s="2" t="s">
        <v>28</v>
      </c>
    </row>
    <row r="10" spans="1:19">
      <c r="A10" s="1">
        <v>45513</v>
      </c>
      <c r="B10" s="2" t="s">
        <v>45</v>
      </c>
      <c r="C10" s="2" t="s">
        <v>44</v>
      </c>
      <c r="D10" s="2" t="s">
        <v>42</v>
      </c>
      <c r="E10" s="2" t="s">
        <v>46</v>
      </c>
      <c r="F10" s="2">
        <v>5</v>
      </c>
      <c r="G10" s="2">
        <v>491.3</v>
      </c>
      <c r="H10" s="2">
        <v>2456.5</v>
      </c>
      <c r="I10" s="2">
        <v>2416.5</v>
      </c>
      <c r="J10" s="2">
        <v>40</v>
      </c>
      <c r="K10" s="2" t="s">
        <v>32</v>
      </c>
      <c r="L10" s="2" t="s">
        <v>26</v>
      </c>
      <c r="M10" s="2">
        <f t="shared" si="0"/>
        <v>0</v>
      </c>
      <c r="N10" s="2">
        <f t="shared" si="1"/>
        <v>1</v>
      </c>
      <c r="O10" s="2">
        <f t="shared" si="2"/>
        <v>0</v>
      </c>
      <c r="P10" s="2" t="s">
        <v>20</v>
      </c>
      <c r="Q10" s="2" t="s">
        <v>35</v>
      </c>
    </row>
    <row r="11" spans="1:19">
      <c r="A11" s="1">
        <v>45597</v>
      </c>
      <c r="B11" s="2" t="s">
        <v>36</v>
      </c>
      <c r="C11" s="2" t="s">
        <v>15</v>
      </c>
      <c r="D11" s="2" t="s">
        <v>23</v>
      </c>
      <c r="E11" s="2" t="s">
        <v>31</v>
      </c>
      <c r="F11" s="2">
        <v>4</v>
      </c>
      <c r="G11" s="2">
        <v>394.42</v>
      </c>
      <c r="H11" s="2">
        <v>1577.68</v>
      </c>
      <c r="I11" s="2">
        <v>1517.68</v>
      </c>
      <c r="J11" s="2">
        <v>60</v>
      </c>
      <c r="K11" s="2" t="s">
        <v>18</v>
      </c>
      <c r="L11" s="2" t="s">
        <v>19</v>
      </c>
      <c r="M11" s="2">
        <f t="shared" si="0"/>
        <v>1</v>
      </c>
      <c r="N11" s="2">
        <f t="shared" si="1"/>
        <v>0</v>
      </c>
      <c r="O11" s="2">
        <f t="shared" si="2"/>
        <v>0</v>
      </c>
      <c r="P11" s="2" t="s">
        <v>27</v>
      </c>
      <c r="Q11" s="2" t="s">
        <v>21</v>
      </c>
    </row>
    <row r="12" spans="1:19">
      <c r="A12" s="1">
        <v>45369</v>
      </c>
      <c r="B12" s="2" t="s">
        <v>47</v>
      </c>
      <c r="C12" s="2" t="s">
        <v>44</v>
      </c>
      <c r="D12" s="2" t="s">
        <v>16</v>
      </c>
      <c r="E12" s="2" t="s">
        <v>46</v>
      </c>
      <c r="F12" s="2">
        <v>2</v>
      </c>
      <c r="G12" s="2">
        <v>216.4</v>
      </c>
      <c r="H12" s="2">
        <v>432.8</v>
      </c>
      <c r="I12" s="2">
        <v>367.3</v>
      </c>
      <c r="J12" s="2">
        <v>65.5</v>
      </c>
      <c r="K12" s="2" t="s">
        <v>25</v>
      </c>
      <c r="L12" s="2" t="s">
        <v>26</v>
      </c>
      <c r="M12" s="2">
        <f t="shared" si="0"/>
        <v>0</v>
      </c>
      <c r="N12" s="2">
        <f t="shared" si="1"/>
        <v>1</v>
      </c>
      <c r="O12" s="2">
        <f t="shared" si="2"/>
        <v>0</v>
      </c>
      <c r="P12" s="2" t="s">
        <v>34</v>
      </c>
      <c r="Q12" s="2" t="s">
        <v>28</v>
      </c>
    </row>
    <row r="13" spans="1:19">
      <c r="A13" s="1">
        <v>45318</v>
      </c>
      <c r="B13" s="2" t="s">
        <v>43</v>
      </c>
      <c r="C13" s="2" t="s">
        <v>44</v>
      </c>
      <c r="D13" s="2" t="s">
        <v>48</v>
      </c>
      <c r="E13" s="2" t="s">
        <v>31</v>
      </c>
      <c r="F13" s="2">
        <v>6</v>
      </c>
      <c r="G13" s="2">
        <v>457.22</v>
      </c>
      <c r="H13" s="2">
        <v>2743.32</v>
      </c>
      <c r="I13" s="2">
        <v>2694.32</v>
      </c>
      <c r="J13" s="2">
        <v>49</v>
      </c>
      <c r="K13" s="2" t="s">
        <v>32</v>
      </c>
      <c r="L13" s="2" t="s">
        <v>33</v>
      </c>
      <c r="M13" s="2">
        <f t="shared" si="0"/>
        <v>0</v>
      </c>
      <c r="N13" s="2">
        <f t="shared" si="1"/>
        <v>0</v>
      </c>
      <c r="O13" s="2">
        <f t="shared" si="2"/>
        <v>1</v>
      </c>
      <c r="P13" s="2" t="s">
        <v>37</v>
      </c>
      <c r="Q13" s="2" t="s">
        <v>35</v>
      </c>
    </row>
    <row r="14" spans="1:19">
      <c r="A14" s="1">
        <v>45471</v>
      </c>
      <c r="B14" s="2" t="s">
        <v>14</v>
      </c>
      <c r="C14" s="2" t="s">
        <v>15</v>
      </c>
      <c r="D14" s="2" t="s">
        <v>42</v>
      </c>
      <c r="E14" s="2" t="s">
        <v>24</v>
      </c>
      <c r="F14" s="2">
        <v>8</v>
      </c>
      <c r="G14" s="2">
        <v>438.33</v>
      </c>
      <c r="H14" s="2">
        <v>3506.64</v>
      </c>
      <c r="I14" s="2">
        <v>3466.64</v>
      </c>
      <c r="J14" s="2">
        <v>40</v>
      </c>
      <c r="K14" s="2" t="s">
        <v>18</v>
      </c>
      <c r="L14" s="2" t="s">
        <v>19</v>
      </c>
      <c r="M14" s="2">
        <f t="shared" si="0"/>
        <v>1</v>
      </c>
      <c r="N14" s="2">
        <f t="shared" si="1"/>
        <v>0</v>
      </c>
      <c r="O14" s="2">
        <f t="shared" si="2"/>
        <v>0</v>
      </c>
      <c r="P14" s="2" t="s">
        <v>20</v>
      </c>
      <c r="Q14" s="2" t="s">
        <v>21</v>
      </c>
    </row>
    <row r="15" spans="1:19">
      <c r="A15" s="1">
        <v>45587</v>
      </c>
      <c r="B15" s="2" t="s">
        <v>36</v>
      </c>
      <c r="C15" s="2" t="s">
        <v>15</v>
      </c>
      <c r="D15" s="2" t="s">
        <v>49</v>
      </c>
      <c r="E15" s="2" t="s">
        <v>31</v>
      </c>
      <c r="F15" s="2">
        <v>2</v>
      </c>
      <c r="G15" s="2">
        <v>56.98</v>
      </c>
      <c r="H15" s="2">
        <v>113.96</v>
      </c>
      <c r="I15" s="2">
        <v>53.959999999999994</v>
      </c>
      <c r="J15" s="2">
        <v>60</v>
      </c>
      <c r="K15" s="2" t="s">
        <v>25</v>
      </c>
      <c r="L15" s="2" t="s">
        <v>19</v>
      </c>
      <c r="M15" s="2">
        <f t="shared" si="0"/>
        <v>1</v>
      </c>
      <c r="N15" s="2">
        <f t="shared" si="1"/>
        <v>0</v>
      </c>
      <c r="O15" s="2">
        <f t="shared" si="2"/>
        <v>0</v>
      </c>
      <c r="P15" s="2" t="s">
        <v>27</v>
      </c>
      <c r="Q15" s="2" t="s">
        <v>28</v>
      </c>
    </row>
    <row r="16" spans="1:19">
      <c r="A16" s="1">
        <v>45423</v>
      </c>
      <c r="B16" s="2" t="s">
        <v>47</v>
      </c>
      <c r="C16" s="2" t="s">
        <v>44</v>
      </c>
      <c r="D16" s="2" t="s">
        <v>49</v>
      </c>
      <c r="E16" s="2" t="s">
        <v>46</v>
      </c>
      <c r="F16" s="2">
        <v>1</v>
      </c>
      <c r="G16" s="2">
        <v>313.14</v>
      </c>
      <c r="H16" s="2">
        <v>313.14</v>
      </c>
      <c r="I16" s="2">
        <v>247.64</v>
      </c>
      <c r="J16" s="2">
        <v>65.5</v>
      </c>
      <c r="K16" s="2" t="s">
        <v>32</v>
      </c>
      <c r="L16" s="2" t="s">
        <v>33</v>
      </c>
      <c r="M16" s="2">
        <f t="shared" si="0"/>
        <v>0</v>
      </c>
      <c r="N16" s="2">
        <f t="shared" si="1"/>
        <v>0</v>
      </c>
      <c r="O16" s="2">
        <f t="shared" si="2"/>
        <v>1</v>
      </c>
      <c r="P16" s="2" t="s">
        <v>34</v>
      </c>
      <c r="Q16" s="2" t="s">
        <v>35</v>
      </c>
    </row>
    <row r="17" spans="1:17">
      <c r="A17" s="1">
        <v>45322</v>
      </c>
      <c r="B17" s="2" t="s">
        <v>38</v>
      </c>
      <c r="C17" s="2" t="s">
        <v>15</v>
      </c>
      <c r="D17" s="2" t="s">
        <v>16</v>
      </c>
      <c r="E17" s="2" t="s">
        <v>24</v>
      </c>
      <c r="F17" s="2">
        <v>4</v>
      </c>
      <c r="G17" s="2">
        <v>53.03</v>
      </c>
      <c r="H17" s="2">
        <v>212.12</v>
      </c>
      <c r="I17" s="2">
        <v>163.12</v>
      </c>
      <c r="J17" s="2">
        <v>49</v>
      </c>
      <c r="K17" s="2" t="s">
        <v>18</v>
      </c>
      <c r="L17" s="2" t="s">
        <v>26</v>
      </c>
      <c r="M17" s="2">
        <f t="shared" si="0"/>
        <v>0</v>
      </c>
      <c r="N17" s="2">
        <f t="shared" si="1"/>
        <v>1</v>
      </c>
      <c r="O17" s="2">
        <f t="shared" si="2"/>
        <v>0</v>
      </c>
      <c r="P17" s="2" t="s">
        <v>37</v>
      </c>
      <c r="Q17" s="2" t="s">
        <v>21</v>
      </c>
    </row>
    <row r="18" spans="1:17">
      <c r="A18" s="1">
        <v>45540</v>
      </c>
      <c r="B18" s="2" t="s">
        <v>50</v>
      </c>
      <c r="C18" s="2" t="s">
        <v>40</v>
      </c>
      <c r="D18" s="2" t="s">
        <v>42</v>
      </c>
      <c r="E18" s="2" t="s">
        <v>46</v>
      </c>
      <c r="F18" s="2">
        <v>10</v>
      </c>
      <c r="G18" s="2">
        <v>152.37</v>
      </c>
      <c r="H18" s="2">
        <v>1523.7</v>
      </c>
      <c r="I18" s="2">
        <v>1483.7</v>
      </c>
      <c r="J18" s="2">
        <v>40</v>
      </c>
      <c r="K18" s="2" t="s">
        <v>25</v>
      </c>
      <c r="L18" s="2" t="s">
        <v>19</v>
      </c>
      <c r="M18" s="2">
        <f t="shared" si="0"/>
        <v>1</v>
      </c>
      <c r="N18" s="2">
        <f t="shared" si="1"/>
        <v>0</v>
      </c>
      <c r="O18" s="2">
        <f t="shared" si="2"/>
        <v>0</v>
      </c>
      <c r="P18" s="2" t="s">
        <v>20</v>
      </c>
      <c r="Q18" s="2" t="s">
        <v>28</v>
      </c>
    </row>
    <row r="19" spans="1:17">
      <c r="A19" s="1">
        <v>45461</v>
      </c>
      <c r="B19" s="2" t="s">
        <v>36</v>
      </c>
      <c r="C19" s="2" t="s">
        <v>15</v>
      </c>
      <c r="D19" s="2" t="s">
        <v>48</v>
      </c>
      <c r="E19" s="2" t="s">
        <v>46</v>
      </c>
      <c r="F19" s="2">
        <v>6</v>
      </c>
      <c r="G19" s="2">
        <v>132.59</v>
      </c>
      <c r="H19" s="2">
        <v>795.54</v>
      </c>
      <c r="I19" s="2">
        <v>735.54</v>
      </c>
      <c r="J19" s="2">
        <v>60</v>
      </c>
      <c r="K19" s="2" t="s">
        <v>32</v>
      </c>
      <c r="L19" s="2" t="s">
        <v>19</v>
      </c>
      <c r="M19" s="2">
        <f t="shared" si="0"/>
        <v>1</v>
      </c>
      <c r="N19" s="2">
        <f t="shared" si="1"/>
        <v>0</v>
      </c>
      <c r="O19" s="2">
        <f t="shared" si="2"/>
        <v>0</v>
      </c>
      <c r="P19" s="2" t="s">
        <v>27</v>
      </c>
      <c r="Q19" s="2" t="s">
        <v>35</v>
      </c>
    </row>
    <row r="20" spans="1:17">
      <c r="A20" s="1">
        <v>45533</v>
      </c>
      <c r="B20" s="2" t="s">
        <v>41</v>
      </c>
      <c r="C20" s="2" t="s">
        <v>30</v>
      </c>
      <c r="D20" s="2" t="s">
        <v>49</v>
      </c>
      <c r="E20" s="2" t="s">
        <v>17</v>
      </c>
      <c r="F20" s="2">
        <v>5</v>
      </c>
      <c r="G20" s="2">
        <v>265.92</v>
      </c>
      <c r="H20" s="2">
        <v>1329.6</v>
      </c>
      <c r="I20" s="2">
        <v>1264.0999999999999</v>
      </c>
      <c r="J20" s="2">
        <v>65.5</v>
      </c>
      <c r="K20" s="2" t="s">
        <v>18</v>
      </c>
      <c r="L20" s="2" t="s">
        <v>26</v>
      </c>
      <c r="M20" s="2">
        <f t="shared" si="0"/>
        <v>0</v>
      </c>
      <c r="N20" s="2">
        <f t="shared" si="1"/>
        <v>1</v>
      </c>
      <c r="O20" s="2">
        <f t="shared" si="2"/>
        <v>0</v>
      </c>
      <c r="P20" s="2" t="s">
        <v>34</v>
      </c>
      <c r="Q20" s="2" t="s">
        <v>21</v>
      </c>
    </row>
    <row r="21" spans="1:17">
      <c r="A21" s="1">
        <v>45461</v>
      </c>
      <c r="B21" s="2" t="s">
        <v>36</v>
      </c>
      <c r="C21" s="2" t="s">
        <v>15</v>
      </c>
      <c r="D21" s="2" t="s">
        <v>49</v>
      </c>
      <c r="E21" s="2" t="s">
        <v>46</v>
      </c>
      <c r="F21" s="2">
        <v>1</v>
      </c>
      <c r="G21" s="2">
        <v>492.81</v>
      </c>
      <c r="H21" s="2">
        <v>492.81</v>
      </c>
      <c r="I21" s="2">
        <v>443.81</v>
      </c>
      <c r="J21" s="2">
        <v>49</v>
      </c>
      <c r="K21" s="2" t="s">
        <v>25</v>
      </c>
      <c r="L21" s="2" t="s">
        <v>33</v>
      </c>
      <c r="M21" s="2">
        <f t="shared" si="0"/>
        <v>0</v>
      </c>
      <c r="N21" s="2">
        <f t="shared" si="1"/>
        <v>0</v>
      </c>
      <c r="O21" s="2">
        <f t="shared" si="2"/>
        <v>1</v>
      </c>
      <c r="P21" s="2" t="s">
        <v>37</v>
      </c>
      <c r="Q21" s="2" t="s">
        <v>28</v>
      </c>
    </row>
    <row r="22" spans="1:17">
      <c r="A22" s="1">
        <v>45357</v>
      </c>
      <c r="B22" s="2" t="s">
        <v>38</v>
      </c>
      <c r="C22" s="2" t="s">
        <v>15</v>
      </c>
      <c r="D22" s="2" t="s">
        <v>49</v>
      </c>
      <c r="E22" s="2" t="s">
        <v>46</v>
      </c>
      <c r="F22" s="2">
        <v>1</v>
      </c>
      <c r="G22" s="2">
        <v>434.04</v>
      </c>
      <c r="H22" s="2">
        <v>434.04</v>
      </c>
      <c r="I22" s="2">
        <v>394.04</v>
      </c>
      <c r="J22" s="2">
        <v>40</v>
      </c>
      <c r="K22" s="2" t="s">
        <v>32</v>
      </c>
      <c r="L22" s="2" t="s">
        <v>19</v>
      </c>
      <c r="M22" s="2">
        <f t="shared" si="0"/>
        <v>1</v>
      </c>
      <c r="N22" s="2">
        <f t="shared" si="1"/>
        <v>0</v>
      </c>
      <c r="O22" s="2">
        <f t="shared" si="2"/>
        <v>0</v>
      </c>
      <c r="P22" s="2" t="s">
        <v>20</v>
      </c>
      <c r="Q22" s="2" t="s">
        <v>35</v>
      </c>
    </row>
    <row r="23" spans="1:17">
      <c r="A23" s="1">
        <v>45436</v>
      </c>
      <c r="B23" s="2" t="s">
        <v>29</v>
      </c>
      <c r="C23" s="2" t="s">
        <v>30</v>
      </c>
      <c r="D23" s="2" t="s">
        <v>42</v>
      </c>
      <c r="E23" s="2" t="s">
        <v>17</v>
      </c>
      <c r="F23" s="2">
        <v>10</v>
      </c>
      <c r="G23" s="2">
        <v>462.7</v>
      </c>
      <c r="H23" s="2">
        <v>4627</v>
      </c>
      <c r="I23" s="2">
        <v>4567</v>
      </c>
      <c r="J23" s="2">
        <v>60</v>
      </c>
      <c r="K23" s="2" t="s">
        <v>18</v>
      </c>
      <c r="L23" s="2" t="s">
        <v>33</v>
      </c>
      <c r="M23" s="2">
        <f t="shared" si="0"/>
        <v>0</v>
      </c>
      <c r="N23" s="2">
        <f t="shared" si="1"/>
        <v>0</v>
      </c>
      <c r="O23" s="2">
        <f t="shared" si="2"/>
        <v>1</v>
      </c>
      <c r="P23" s="2" t="s">
        <v>27</v>
      </c>
      <c r="Q23" s="2" t="s">
        <v>21</v>
      </c>
    </row>
    <row r="24" spans="1:17">
      <c r="A24" s="1">
        <v>45423</v>
      </c>
      <c r="B24" s="2" t="s">
        <v>36</v>
      </c>
      <c r="C24" s="2" t="s">
        <v>15</v>
      </c>
      <c r="D24" s="2" t="s">
        <v>48</v>
      </c>
      <c r="E24" s="2" t="s">
        <v>24</v>
      </c>
      <c r="F24" s="2">
        <v>2</v>
      </c>
      <c r="G24" s="2">
        <v>336.04</v>
      </c>
      <c r="H24" s="2">
        <v>672.08</v>
      </c>
      <c r="I24" s="2">
        <v>606.58000000000004</v>
      </c>
      <c r="J24" s="2">
        <v>65.5</v>
      </c>
      <c r="K24" s="2" t="s">
        <v>25</v>
      </c>
      <c r="L24" s="2" t="s">
        <v>19</v>
      </c>
      <c r="M24" s="2">
        <f t="shared" si="0"/>
        <v>1</v>
      </c>
      <c r="N24" s="2">
        <f t="shared" si="1"/>
        <v>0</v>
      </c>
      <c r="O24" s="2">
        <f t="shared" si="2"/>
        <v>0</v>
      </c>
      <c r="P24" s="2" t="s">
        <v>34</v>
      </c>
      <c r="Q24" s="2" t="s">
        <v>28</v>
      </c>
    </row>
    <row r="25" spans="1:17">
      <c r="A25" s="1">
        <v>45578</v>
      </c>
      <c r="B25" s="2" t="s">
        <v>51</v>
      </c>
      <c r="C25" s="2" t="s">
        <v>52</v>
      </c>
      <c r="D25" s="2" t="s">
        <v>49</v>
      </c>
      <c r="E25" s="2" t="s">
        <v>24</v>
      </c>
      <c r="F25" s="2">
        <v>7</v>
      </c>
      <c r="G25" s="2">
        <v>349.53</v>
      </c>
      <c r="H25" s="2">
        <v>2446.71</v>
      </c>
      <c r="I25" s="2">
        <v>2397.71</v>
      </c>
      <c r="J25" s="2">
        <v>49</v>
      </c>
      <c r="K25" s="2" t="s">
        <v>32</v>
      </c>
      <c r="L25" s="2" t="s">
        <v>26</v>
      </c>
      <c r="M25" s="2">
        <f t="shared" si="0"/>
        <v>0</v>
      </c>
      <c r="N25" s="2">
        <f t="shared" si="1"/>
        <v>1</v>
      </c>
      <c r="O25" s="2">
        <f t="shared" si="2"/>
        <v>0</v>
      </c>
      <c r="P25" s="2" t="s">
        <v>37</v>
      </c>
      <c r="Q25" s="2" t="s">
        <v>35</v>
      </c>
    </row>
    <row r="26" spans="1:17">
      <c r="A26" s="1">
        <v>45365</v>
      </c>
      <c r="B26" s="2" t="s">
        <v>38</v>
      </c>
      <c r="C26" s="2" t="s">
        <v>15</v>
      </c>
      <c r="D26" s="2" t="s">
        <v>23</v>
      </c>
      <c r="E26" s="2" t="s">
        <v>46</v>
      </c>
      <c r="F26" s="2">
        <v>5</v>
      </c>
      <c r="G26" s="2">
        <v>178.39</v>
      </c>
      <c r="H26" s="2">
        <v>891.95</v>
      </c>
      <c r="I26" s="2">
        <v>851.95</v>
      </c>
      <c r="J26" s="2">
        <v>40</v>
      </c>
      <c r="K26" s="2" t="s">
        <v>18</v>
      </c>
      <c r="L26" s="2" t="s">
        <v>26</v>
      </c>
      <c r="M26" s="2">
        <f t="shared" si="0"/>
        <v>0</v>
      </c>
      <c r="N26" s="2">
        <f t="shared" si="1"/>
        <v>1</v>
      </c>
      <c r="O26" s="2">
        <f t="shared" si="2"/>
        <v>0</v>
      </c>
      <c r="P26" s="2" t="s">
        <v>20</v>
      </c>
      <c r="Q26" s="2" t="s">
        <v>21</v>
      </c>
    </row>
    <row r="27" spans="1:17">
      <c r="A27" s="1">
        <v>45559</v>
      </c>
      <c r="B27" s="2" t="s">
        <v>53</v>
      </c>
      <c r="C27" s="2" t="s">
        <v>40</v>
      </c>
      <c r="D27" s="2" t="s">
        <v>16</v>
      </c>
      <c r="E27" s="2" t="s">
        <v>31</v>
      </c>
      <c r="F27" s="2">
        <v>9</v>
      </c>
      <c r="G27" s="2">
        <v>479.97</v>
      </c>
      <c r="H27" s="2">
        <v>4319.7299999999996</v>
      </c>
      <c r="I27" s="2">
        <v>4259.7299999999996</v>
      </c>
      <c r="J27" s="2">
        <v>60</v>
      </c>
      <c r="K27" s="2" t="s">
        <v>25</v>
      </c>
      <c r="L27" s="2" t="s">
        <v>33</v>
      </c>
      <c r="M27" s="2">
        <f t="shared" si="0"/>
        <v>0</v>
      </c>
      <c r="N27" s="2">
        <f t="shared" si="1"/>
        <v>0</v>
      </c>
      <c r="O27" s="2">
        <f t="shared" si="2"/>
        <v>1</v>
      </c>
      <c r="P27" s="2" t="s">
        <v>27</v>
      </c>
      <c r="Q27" s="2" t="s">
        <v>28</v>
      </c>
    </row>
    <row r="28" spans="1:17">
      <c r="A28" s="1">
        <v>45303</v>
      </c>
      <c r="B28" s="2" t="s">
        <v>53</v>
      </c>
      <c r="C28" s="2" t="s">
        <v>40</v>
      </c>
      <c r="D28" s="2" t="s">
        <v>42</v>
      </c>
      <c r="E28" s="2" t="s">
        <v>17</v>
      </c>
      <c r="F28" s="2">
        <v>1</v>
      </c>
      <c r="G28" s="2">
        <v>226.32</v>
      </c>
      <c r="H28" s="2">
        <v>226.32</v>
      </c>
      <c r="I28" s="2">
        <v>160.82</v>
      </c>
      <c r="J28" s="2">
        <v>65.5</v>
      </c>
      <c r="K28" s="2" t="s">
        <v>32</v>
      </c>
      <c r="L28" s="2" t="s">
        <v>19</v>
      </c>
      <c r="M28" s="2">
        <f t="shared" si="0"/>
        <v>1</v>
      </c>
      <c r="N28" s="2">
        <f t="shared" si="1"/>
        <v>0</v>
      </c>
      <c r="O28" s="2">
        <f t="shared" si="2"/>
        <v>0</v>
      </c>
      <c r="P28" s="2" t="s">
        <v>34</v>
      </c>
      <c r="Q28" s="2" t="s">
        <v>35</v>
      </c>
    </row>
    <row r="29" spans="1:17">
      <c r="A29" s="1">
        <v>45545</v>
      </c>
      <c r="B29" s="2" t="s">
        <v>53</v>
      </c>
      <c r="C29" s="2" t="s">
        <v>40</v>
      </c>
      <c r="D29" s="2" t="s">
        <v>23</v>
      </c>
      <c r="E29" s="2" t="s">
        <v>31</v>
      </c>
      <c r="F29" s="2">
        <v>6</v>
      </c>
      <c r="G29" s="2">
        <v>430.69</v>
      </c>
      <c r="H29" s="2">
        <v>2584.14</v>
      </c>
      <c r="I29" s="2">
        <v>2535.14</v>
      </c>
      <c r="J29" s="2">
        <v>49</v>
      </c>
      <c r="K29" s="2" t="s">
        <v>18</v>
      </c>
      <c r="L29" s="2" t="s">
        <v>19</v>
      </c>
      <c r="M29" s="2">
        <f t="shared" si="0"/>
        <v>1</v>
      </c>
      <c r="N29" s="2">
        <f t="shared" si="1"/>
        <v>0</v>
      </c>
      <c r="O29" s="2">
        <f t="shared" si="2"/>
        <v>0</v>
      </c>
      <c r="P29" s="2" t="s">
        <v>37</v>
      </c>
      <c r="Q29" s="2" t="s">
        <v>21</v>
      </c>
    </row>
    <row r="30" spans="1:17">
      <c r="A30" s="1">
        <v>45490</v>
      </c>
      <c r="B30" s="2" t="s">
        <v>41</v>
      </c>
      <c r="C30" s="2" t="s">
        <v>30</v>
      </c>
      <c r="D30" s="2" t="s">
        <v>23</v>
      </c>
      <c r="E30" s="2" t="s">
        <v>46</v>
      </c>
      <c r="F30" s="2">
        <v>3</v>
      </c>
      <c r="G30" s="2">
        <v>393.27</v>
      </c>
      <c r="H30" s="2">
        <v>1179.81</v>
      </c>
      <c r="I30" s="2">
        <v>1139.81</v>
      </c>
      <c r="J30" s="2">
        <v>40</v>
      </c>
      <c r="K30" s="2" t="s">
        <v>25</v>
      </c>
      <c r="L30" s="2" t="s">
        <v>26</v>
      </c>
      <c r="M30" s="2">
        <f t="shared" si="0"/>
        <v>0</v>
      </c>
      <c r="N30" s="2">
        <f t="shared" si="1"/>
        <v>1</v>
      </c>
      <c r="O30" s="2">
        <f t="shared" si="2"/>
        <v>0</v>
      </c>
      <c r="P30" s="2" t="s">
        <v>20</v>
      </c>
      <c r="Q30" s="2" t="s">
        <v>28</v>
      </c>
    </row>
    <row r="31" spans="1:17">
      <c r="A31" s="1">
        <v>45371</v>
      </c>
      <c r="B31" s="2" t="s">
        <v>22</v>
      </c>
      <c r="C31" s="2" t="s">
        <v>15</v>
      </c>
      <c r="D31" s="2" t="s">
        <v>16</v>
      </c>
      <c r="E31" s="2" t="s">
        <v>24</v>
      </c>
      <c r="F31" s="2">
        <v>9</v>
      </c>
      <c r="G31" s="2">
        <v>475.63</v>
      </c>
      <c r="H31" s="2">
        <v>4280.67</v>
      </c>
      <c r="I31" s="2">
        <v>4220.67</v>
      </c>
      <c r="J31" s="2">
        <v>60</v>
      </c>
      <c r="K31" s="2" t="s">
        <v>32</v>
      </c>
      <c r="L31" s="2" t="s">
        <v>33</v>
      </c>
      <c r="M31" s="2">
        <f t="shared" si="0"/>
        <v>0</v>
      </c>
      <c r="N31" s="2">
        <f t="shared" si="1"/>
        <v>0</v>
      </c>
      <c r="O31" s="2">
        <f t="shared" si="2"/>
        <v>1</v>
      </c>
      <c r="P31" s="2" t="s">
        <v>27</v>
      </c>
      <c r="Q31" s="2" t="s">
        <v>35</v>
      </c>
    </row>
    <row r="32" spans="1:17">
      <c r="A32" s="1">
        <v>45565</v>
      </c>
      <c r="B32" s="2" t="s">
        <v>22</v>
      </c>
      <c r="C32" s="2" t="s">
        <v>15</v>
      </c>
      <c r="D32" s="2" t="s">
        <v>16</v>
      </c>
      <c r="E32" s="2" t="s">
        <v>17</v>
      </c>
      <c r="F32" s="2">
        <v>1</v>
      </c>
      <c r="G32" s="2">
        <v>286.63</v>
      </c>
      <c r="H32" s="2">
        <v>286.63</v>
      </c>
      <c r="I32" s="2">
        <v>221.13</v>
      </c>
      <c r="J32" s="2">
        <v>65.5</v>
      </c>
      <c r="K32" s="2" t="s">
        <v>18</v>
      </c>
      <c r="L32" s="2" t="s">
        <v>19</v>
      </c>
      <c r="M32" s="2">
        <f t="shared" si="0"/>
        <v>1</v>
      </c>
      <c r="N32" s="2">
        <f t="shared" si="1"/>
        <v>0</v>
      </c>
      <c r="O32" s="2">
        <f t="shared" si="2"/>
        <v>0</v>
      </c>
      <c r="P32" s="2" t="s">
        <v>34</v>
      </c>
      <c r="Q32" s="2" t="s">
        <v>21</v>
      </c>
    </row>
    <row r="33" spans="1:17">
      <c r="A33" s="1">
        <v>45545</v>
      </c>
      <c r="B33" s="2" t="s">
        <v>29</v>
      </c>
      <c r="C33" s="2" t="s">
        <v>30</v>
      </c>
      <c r="D33" s="2" t="s">
        <v>23</v>
      </c>
      <c r="E33" s="2" t="s">
        <v>31</v>
      </c>
      <c r="F33" s="2">
        <v>6</v>
      </c>
      <c r="G33" s="2">
        <v>66.28</v>
      </c>
      <c r="H33" s="2">
        <v>397.68</v>
      </c>
      <c r="I33" s="2">
        <v>348.68</v>
      </c>
      <c r="J33" s="2">
        <v>49</v>
      </c>
      <c r="K33" s="2" t="s">
        <v>25</v>
      </c>
      <c r="L33" s="2" t="s">
        <v>26</v>
      </c>
      <c r="M33" s="2">
        <f t="shared" si="0"/>
        <v>0</v>
      </c>
      <c r="N33" s="2">
        <f t="shared" si="1"/>
        <v>1</v>
      </c>
      <c r="O33" s="2">
        <f t="shared" si="2"/>
        <v>0</v>
      </c>
      <c r="P33" s="2" t="s">
        <v>37</v>
      </c>
      <c r="Q33" s="2" t="s">
        <v>28</v>
      </c>
    </row>
    <row r="34" spans="1:17">
      <c r="A34" s="1">
        <v>45373</v>
      </c>
      <c r="B34" s="2" t="s">
        <v>54</v>
      </c>
      <c r="C34" s="2" t="s">
        <v>40</v>
      </c>
      <c r="D34" s="2" t="s">
        <v>49</v>
      </c>
      <c r="E34" s="2" t="s">
        <v>17</v>
      </c>
      <c r="F34" s="2">
        <v>1</v>
      </c>
      <c r="G34" s="2">
        <v>188.02</v>
      </c>
      <c r="H34" s="2">
        <v>188.02</v>
      </c>
      <c r="I34" s="2">
        <v>148.02000000000001</v>
      </c>
      <c r="J34" s="2">
        <v>40</v>
      </c>
      <c r="K34" s="2" t="s">
        <v>32</v>
      </c>
      <c r="L34" s="2" t="s">
        <v>19</v>
      </c>
      <c r="M34" s="2">
        <f t="shared" ref="M34:M65" si="3">IF(L34="Completed",1,0)</f>
        <v>1</v>
      </c>
      <c r="N34" s="2">
        <f t="shared" ref="N34:N65" si="4">IF(L34="Pending",1,0)</f>
        <v>0</v>
      </c>
      <c r="O34" s="2">
        <f t="shared" ref="O34:O65" si="5">IF(L34="Cancelled",1,0)</f>
        <v>0</v>
      </c>
      <c r="P34" s="2" t="s">
        <v>20</v>
      </c>
      <c r="Q34" s="2" t="s">
        <v>35</v>
      </c>
    </row>
    <row r="35" spans="1:17">
      <c r="A35" s="1">
        <v>45328</v>
      </c>
      <c r="B35" s="2" t="s">
        <v>29</v>
      </c>
      <c r="C35" s="2" t="s">
        <v>30</v>
      </c>
      <c r="D35" s="2" t="s">
        <v>16</v>
      </c>
      <c r="E35" s="2" t="s">
        <v>31</v>
      </c>
      <c r="F35" s="2">
        <v>2</v>
      </c>
      <c r="G35" s="2">
        <v>163.61000000000001</v>
      </c>
      <c r="H35" s="2">
        <v>327.22000000000003</v>
      </c>
      <c r="I35" s="2">
        <v>267.22000000000003</v>
      </c>
      <c r="J35" s="2">
        <v>60</v>
      </c>
      <c r="K35" s="2" t="s">
        <v>18</v>
      </c>
      <c r="L35" s="2" t="s">
        <v>33</v>
      </c>
      <c r="M35" s="2">
        <f t="shared" si="3"/>
        <v>0</v>
      </c>
      <c r="N35" s="2">
        <f t="shared" si="4"/>
        <v>0</v>
      </c>
      <c r="O35" s="2">
        <f t="shared" si="5"/>
        <v>1</v>
      </c>
      <c r="P35" s="2" t="s">
        <v>27</v>
      </c>
      <c r="Q35" s="2" t="s">
        <v>21</v>
      </c>
    </row>
    <row r="36" spans="1:17">
      <c r="A36" s="1">
        <v>45387</v>
      </c>
      <c r="B36" s="2" t="s">
        <v>50</v>
      </c>
      <c r="C36" s="2" t="s">
        <v>40</v>
      </c>
      <c r="D36" s="2" t="s">
        <v>23</v>
      </c>
      <c r="E36" s="2" t="s">
        <v>24</v>
      </c>
      <c r="F36" s="2">
        <v>5</v>
      </c>
      <c r="G36" s="2">
        <v>235.55</v>
      </c>
      <c r="H36" s="2">
        <v>1177.75</v>
      </c>
      <c r="I36" s="2">
        <v>1112.25</v>
      </c>
      <c r="J36" s="2">
        <v>65.5</v>
      </c>
      <c r="K36" s="2" t="s">
        <v>25</v>
      </c>
      <c r="L36" s="2" t="s">
        <v>26</v>
      </c>
      <c r="M36" s="2">
        <f t="shared" si="3"/>
        <v>0</v>
      </c>
      <c r="N36" s="2">
        <f t="shared" si="4"/>
        <v>1</v>
      </c>
      <c r="O36" s="2">
        <f t="shared" si="5"/>
        <v>0</v>
      </c>
      <c r="P36" s="2" t="s">
        <v>34</v>
      </c>
      <c r="Q36" s="2" t="s">
        <v>28</v>
      </c>
    </row>
    <row r="37" spans="1:17">
      <c r="A37" s="1">
        <v>45408</v>
      </c>
      <c r="B37" s="2" t="s">
        <v>39</v>
      </c>
      <c r="C37" s="2" t="s">
        <v>40</v>
      </c>
      <c r="D37" s="2" t="s">
        <v>48</v>
      </c>
      <c r="E37" s="2" t="s">
        <v>24</v>
      </c>
      <c r="F37" s="2">
        <v>9</v>
      </c>
      <c r="G37" s="2">
        <v>342.15</v>
      </c>
      <c r="H37" s="2">
        <v>3079.35</v>
      </c>
      <c r="I37" s="2">
        <v>3030.35</v>
      </c>
      <c r="J37" s="2">
        <v>49</v>
      </c>
      <c r="K37" s="2" t="s">
        <v>32</v>
      </c>
      <c r="L37" s="2" t="s">
        <v>19</v>
      </c>
      <c r="M37" s="2">
        <f t="shared" si="3"/>
        <v>1</v>
      </c>
      <c r="N37" s="2">
        <f t="shared" si="4"/>
        <v>0</v>
      </c>
      <c r="O37" s="2">
        <f t="shared" si="5"/>
        <v>0</v>
      </c>
      <c r="P37" s="2" t="s">
        <v>37</v>
      </c>
      <c r="Q37" s="2" t="s">
        <v>35</v>
      </c>
    </row>
    <row r="38" spans="1:17">
      <c r="A38" s="1">
        <v>45569</v>
      </c>
      <c r="B38" s="2" t="s">
        <v>55</v>
      </c>
      <c r="C38" s="2" t="s">
        <v>44</v>
      </c>
      <c r="D38" s="2" t="s">
        <v>23</v>
      </c>
      <c r="E38" s="2" t="s">
        <v>46</v>
      </c>
      <c r="F38" s="2">
        <v>4</v>
      </c>
      <c r="G38" s="2">
        <v>117.1</v>
      </c>
      <c r="H38" s="2">
        <v>468.4</v>
      </c>
      <c r="I38" s="2">
        <v>428.4</v>
      </c>
      <c r="J38" s="2">
        <v>40</v>
      </c>
      <c r="K38" s="2" t="s">
        <v>18</v>
      </c>
      <c r="L38" s="2" t="s">
        <v>33</v>
      </c>
      <c r="M38" s="2">
        <f t="shared" si="3"/>
        <v>0</v>
      </c>
      <c r="N38" s="2">
        <f t="shared" si="4"/>
        <v>0</v>
      </c>
      <c r="O38" s="2">
        <f t="shared" si="5"/>
        <v>1</v>
      </c>
      <c r="P38" s="2" t="s">
        <v>20</v>
      </c>
      <c r="Q38" s="2" t="s">
        <v>21</v>
      </c>
    </row>
    <row r="39" spans="1:17">
      <c r="A39" s="1">
        <v>45396</v>
      </c>
      <c r="B39" s="2" t="s">
        <v>56</v>
      </c>
      <c r="C39" s="2" t="s">
        <v>52</v>
      </c>
      <c r="D39" s="2" t="s">
        <v>23</v>
      </c>
      <c r="E39" s="2" t="s">
        <v>31</v>
      </c>
      <c r="F39" s="2">
        <v>2</v>
      </c>
      <c r="G39" s="2">
        <v>416.69</v>
      </c>
      <c r="H39" s="2">
        <v>833.38</v>
      </c>
      <c r="I39" s="2">
        <v>773.38</v>
      </c>
      <c r="J39" s="2">
        <v>60</v>
      </c>
      <c r="K39" s="2" t="s">
        <v>25</v>
      </c>
      <c r="L39" s="2" t="s">
        <v>19</v>
      </c>
      <c r="M39" s="2">
        <f t="shared" si="3"/>
        <v>1</v>
      </c>
      <c r="N39" s="2">
        <f t="shared" si="4"/>
        <v>0</v>
      </c>
      <c r="O39" s="2">
        <f t="shared" si="5"/>
        <v>0</v>
      </c>
      <c r="P39" s="2" t="s">
        <v>27</v>
      </c>
      <c r="Q39" s="2" t="s">
        <v>28</v>
      </c>
    </row>
    <row r="40" spans="1:17">
      <c r="A40" s="1">
        <v>45425</v>
      </c>
      <c r="B40" s="2" t="s">
        <v>14</v>
      </c>
      <c r="C40" s="2" t="s">
        <v>15</v>
      </c>
      <c r="D40" s="2" t="s">
        <v>49</v>
      </c>
      <c r="E40" s="2" t="s">
        <v>17</v>
      </c>
      <c r="F40" s="2">
        <v>8</v>
      </c>
      <c r="G40" s="2">
        <v>341.07</v>
      </c>
      <c r="H40" s="2">
        <v>2728.56</v>
      </c>
      <c r="I40" s="2">
        <v>2663.06</v>
      </c>
      <c r="J40" s="2">
        <v>65.5</v>
      </c>
      <c r="K40" s="2" t="s">
        <v>32</v>
      </c>
      <c r="L40" s="2" t="s">
        <v>26</v>
      </c>
      <c r="M40" s="2">
        <f t="shared" si="3"/>
        <v>0</v>
      </c>
      <c r="N40" s="2">
        <f t="shared" si="4"/>
        <v>1</v>
      </c>
      <c r="O40" s="2">
        <f t="shared" si="5"/>
        <v>0</v>
      </c>
      <c r="P40" s="2" t="s">
        <v>34</v>
      </c>
      <c r="Q40" s="2" t="s">
        <v>35</v>
      </c>
    </row>
    <row r="41" spans="1:17">
      <c r="A41" s="1">
        <v>45460</v>
      </c>
      <c r="B41" s="2" t="s">
        <v>57</v>
      </c>
      <c r="C41" s="2" t="s">
        <v>30</v>
      </c>
      <c r="D41" s="2" t="s">
        <v>16</v>
      </c>
      <c r="E41" s="2" t="s">
        <v>31</v>
      </c>
      <c r="F41" s="2">
        <v>7</v>
      </c>
      <c r="G41" s="2">
        <v>76.53</v>
      </c>
      <c r="H41" s="2">
        <v>535.71</v>
      </c>
      <c r="I41" s="2">
        <v>486.71000000000004</v>
      </c>
      <c r="J41" s="2">
        <v>49</v>
      </c>
      <c r="K41" s="2" t="s">
        <v>18</v>
      </c>
      <c r="L41" s="2" t="s">
        <v>33</v>
      </c>
      <c r="M41" s="2">
        <f t="shared" si="3"/>
        <v>0</v>
      </c>
      <c r="N41" s="2">
        <f t="shared" si="4"/>
        <v>0</v>
      </c>
      <c r="O41" s="2">
        <f t="shared" si="5"/>
        <v>1</v>
      </c>
      <c r="P41" s="2" t="s">
        <v>37</v>
      </c>
      <c r="Q41" s="2" t="s">
        <v>21</v>
      </c>
    </row>
    <row r="42" spans="1:17">
      <c r="A42" s="1">
        <v>45508</v>
      </c>
      <c r="B42" s="2" t="s">
        <v>36</v>
      </c>
      <c r="C42" s="2" t="s">
        <v>15</v>
      </c>
      <c r="D42" s="2" t="s">
        <v>49</v>
      </c>
      <c r="E42" s="2" t="s">
        <v>46</v>
      </c>
      <c r="F42" s="2">
        <v>5</v>
      </c>
      <c r="G42" s="2">
        <v>302.08</v>
      </c>
      <c r="H42" s="2">
        <v>1510.4</v>
      </c>
      <c r="I42" s="2">
        <v>1470.4</v>
      </c>
      <c r="J42" s="2">
        <v>40</v>
      </c>
      <c r="K42" s="2" t="s">
        <v>25</v>
      </c>
      <c r="L42" s="2" t="s">
        <v>19</v>
      </c>
      <c r="M42" s="2">
        <f t="shared" si="3"/>
        <v>1</v>
      </c>
      <c r="N42" s="2">
        <f t="shared" si="4"/>
        <v>0</v>
      </c>
      <c r="O42" s="2">
        <f t="shared" si="5"/>
        <v>0</v>
      </c>
      <c r="P42" s="2" t="s">
        <v>20</v>
      </c>
      <c r="Q42" s="2" t="s">
        <v>28</v>
      </c>
    </row>
    <row r="43" spans="1:17">
      <c r="A43" s="1">
        <v>45406</v>
      </c>
      <c r="B43" s="2" t="s">
        <v>56</v>
      </c>
      <c r="C43" s="2" t="s">
        <v>52</v>
      </c>
      <c r="D43" s="2" t="s">
        <v>42</v>
      </c>
      <c r="E43" s="2" t="s">
        <v>24</v>
      </c>
      <c r="F43" s="2">
        <v>6</v>
      </c>
      <c r="G43" s="2">
        <v>343.96</v>
      </c>
      <c r="H43" s="2">
        <v>2063.7600000000002</v>
      </c>
      <c r="I43" s="2">
        <v>2003.7600000000002</v>
      </c>
      <c r="J43" s="2">
        <v>60</v>
      </c>
      <c r="K43" s="2" t="s">
        <v>32</v>
      </c>
      <c r="L43" s="2" t="s">
        <v>26</v>
      </c>
      <c r="M43" s="2">
        <f t="shared" si="3"/>
        <v>0</v>
      </c>
      <c r="N43" s="2">
        <f t="shared" si="4"/>
        <v>1</v>
      </c>
      <c r="O43" s="2">
        <f t="shared" si="5"/>
        <v>0</v>
      </c>
      <c r="P43" s="2" t="s">
        <v>27</v>
      </c>
      <c r="Q43" s="2" t="s">
        <v>35</v>
      </c>
    </row>
    <row r="44" spans="1:17">
      <c r="A44" s="1">
        <v>45442</v>
      </c>
      <c r="B44" s="2" t="s">
        <v>36</v>
      </c>
      <c r="C44" s="2" t="s">
        <v>15</v>
      </c>
      <c r="D44" s="2" t="s">
        <v>42</v>
      </c>
      <c r="E44" s="2" t="s">
        <v>31</v>
      </c>
      <c r="F44" s="2">
        <v>3</v>
      </c>
      <c r="G44" s="2">
        <v>334.52</v>
      </c>
      <c r="H44" s="2">
        <v>1003.56</v>
      </c>
      <c r="I44" s="2">
        <v>938.06</v>
      </c>
      <c r="J44" s="2">
        <v>65.5</v>
      </c>
      <c r="K44" s="2" t="s">
        <v>18</v>
      </c>
      <c r="L44" s="2" t="s">
        <v>33</v>
      </c>
      <c r="M44" s="2">
        <f t="shared" si="3"/>
        <v>0</v>
      </c>
      <c r="N44" s="2">
        <f t="shared" si="4"/>
        <v>0</v>
      </c>
      <c r="O44" s="2">
        <f t="shared" si="5"/>
        <v>1</v>
      </c>
      <c r="P44" s="2" t="s">
        <v>34</v>
      </c>
      <c r="Q44" s="2" t="s">
        <v>21</v>
      </c>
    </row>
    <row r="45" spans="1:17">
      <c r="A45" s="1">
        <v>45527</v>
      </c>
      <c r="B45" s="2" t="s">
        <v>36</v>
      </c>
      <c r="C45" s="2" t="s">
        <v>15</v>
      </c>
      <c r="D45" s="2" t="s">
        <v>49</v>
      </c>
      <c r="E45" s="2" t="s">
        <v>17</v>
      </c>
      <c r="F45" s="2">
        <v>6</v>
      </c>
      <c r="G45" s="2">
        <v>108.38</v>
      </c>
      <c r="H45" s="2">
        <v>650.28</v>
      </c>
      <c r="I45" s="2">
        <v>601.28</v>
      </c>
      <c r="J45" s="2">
        <v>49</v>
      </c>
      <c r="K45" s="2" t="s">
        <v>25</v>
      </c>
      <c r="L45" s="2" t="s">
        <v>19</v>
      </c>
      <c r="M45" s="2">
        <f t="shared" si="3"/>
        <v>1</v>
      </c>
      <c r="N45" s="2">
        <f t="shared" si="4"/>
        <v>0</v>
      </c>
      <c r="O45" s="2">
        <f t="shared" si="5"/>
        <v>0</v>
      </c>
      <c r="P45" s="2" t="s">
        <v>37</v>
      </c>
      <c r="Q45" s="2" t="s">
        <v>28</v>
      </c>
    </row>
    <row r="46" spans="1:17">
      <c r="A46" s="1">
        <v>45511</v>
      </c>
      <c r="B46" s="2" t="s">
        <v>43</v>
      </c>
      <c r="C46" s="2" t="s">
        <v>44</v>
      </c>
      <c r="D46" s="2" t="s">
        <v>16</v>
      </c>
      <c r="E46" s="2" t="s">
        <v>17</v>
      </c>
      <c r="F46" s="2">
        <v>6</v>
      </c>
      <c r="G46" s="2">
        <v>135.08000000000001</v>
      </c>
      <c r="H46" s="2">
        <v>810.48</v>
      </c>
      <c r="I46" s="2">
        <v>770.48</v>
      </c>
      <c r="J46" s="2">
        <v>40</v>
      </c>
      <c r="K46" s="2" t="s">
        <v>32</v>
      </c>
      <c r="L46" s="2" t="s">
        <v>19</v>
      </c>
      <c r="M46" s="2">
        <f t="shared" si="3"/>
        <v>1</v>
      </c>
      <c r="N46" s="2">
        <f t="shared" si="4"/>
        <v>0</v>
      </c>
      <c r="O46" s="2">
        <f t="shared" si="5"/>
        <v>0</v>
      </c>
      <c r="P46" s="2" t="s">
        <v>20</v>
      </c>
      <c r="Q46" s="2" t="s">
        <v>35</v>
      </c>
    </row>
    <row r="47" spans="1:17">
      <c r="A47" s="1">
        <v>45382</v>
      </c>
      <c r="B47" s="2" t="s">
        <v>38</v>
      </c>
      <c r="C47" s="2" t="s">
        <v>15</v>
      </c>
      <c r="D47" s="2" t="s">
        <v>49</v>
      </c>
      <c r="E47" s="2" t="s">
        <v>46</v>
      </c>
      <c r="F47" s="2">
        <v>8</v>
      </c>
      <c r="G47" s="2">
        <v>217.97</v>
      </c>
      <c r="H47" s="2">
        <v>1743.76</v>
      </c>
      <c r="I47" s="2">
        <v>1683.76</v>
      </c>
      <c r="J47" s="2">
        <v>60</v>
      </c>
      <c r="K47" s="2" t="s">
        <v>18</v>
      </c>
      <c r="L47" s="2" t="s">
        <v>33</v>
      </c>
      <c r="M47" s="2">
        <f t="shared" si="3"/>
        <v>0</v>
      </c>
      <c r="N47" s="2">
        <f t="shared" si="4"/>
        <v>0</v>
      </c>
      <c r="O47" s="2">
        <f t="shared" si="5"/>
        <v>1</v>
      </c>
      <c r="P47" s="2" t="s">
        <v>27</v>
      </c>
      <c r="Q47" s="2" t="s">
        <v>21</v>
      </c>
    </row>
    <row r="48" spans="1:17">
      <c r="A48" s="1">
        <v>45318</v>
      </c>
      <c r="B48" s="2" t="s">
        <v>38</v>
      </c>
      <c r="C48" s="2" t="s">
        <v>15</v>
      </c>
      <c r="D48" s="2" t="s">
        <v>42</v>
      </c>
      <c r="E48" s="2" t="s">
        <v>31</v>
      </c>
      <c r="F48" s="2">
        <v>10</v>
      </c>
      <c r="G48" s="2">
        <v>315.7</v>
      </c>
      <c r="H48" s="2">
        <v>3157</v>
      </c>
      <c r="I48" s="2">
        <v>3091.5</v>
      </c>
      <c r="J48" s="2">
        <v>65.5</v>
      </c>
      <c r="K48" s="2" t="s">
        <v>25</v>
      </c>
      <c r="L48" s="2" t="s">
        <v>19</v>
      </c>
      <c r="M48" s="2">
        <f t="shared" si="3"/>
        <v>1</v>
      </c>
      <c r="N48" s="2">
        <f t="shared" si="4"/>
        <v>0</v>
      </c>
      <c r="O48" s="2">
        <f t="shared" si="5"/>
        <v>0</v>
      </c>
      <c r="P48" s="2" t="s">
        <v>34</v>
      </c>
      <c r="Q48" s="2" t="s">
        <v>28</v>
      </c>
    </row>
    <row r="49" spans="1:17">
      <c r="A49" s="1">
        <v>45444</v>
      </c>
      <c r="B49" s="2" t="s">
        <v>53</v>
      </c>
      <c r="C49" s="2" t="s">
        <v>40</v>
      </c>
      <c r="D49" s="2" t="s">
        <v>42</v>
      </c>
      <c r="E49" s="2" t="s">
        <v>31</v>
      </c>
      <c r="F49" s="2">
        <v>4</v>
      </c>
      <c r="G49" s="2">
        <v>275.02999999999997</v>
      </c>
      <c r="H49" s="2">
        <v>1100.1199999999999</v>
      </c>
      <c r="I49" s="2">
        <v>1051.1199999999999</v>
      </c>
      <c r="J49" s="2">
        <v>49</v>
      </c>
      <c r="K49" s="2" t="s">
        <v>32</v>
      </c>
      <c r="L49" s="2" t="s">
        <v>26</v>
      </c>
      <c r="M49" s="2">
        <f t="shared" si="3"/>
        <v>0</v>
      </c>
      <c r="N49" s="2">
        <f t="shared" si="4"/>
        <v>1</v>
      </c>
      <c r="O49" s="2">
        <f t="shared" si="5"/>
        <v>0</v>
      </c>
      <c r="P49" s="2" t="s">
        <v>37</v>
      </c>
      <c r="Q49" s="2" t="s">
        <v>35</v>
      </c>
    </row>
    <row r="50" spans="1:17">
      <c r="A50" s="1">
        <v>45389</v>
      </c>
      <c r="B50" s="2" t="s">
        <v>54</v>
      </c>
      <c r="C50" s="2" t="s">
        <v>40</v>
      </c>
      <c r="D50" s="2" t="s">
        <v>23</v>
      </c>
      <c r="E50" s="2" t="s">
        <v>46</v>
      </c>
      <c r="F50" s="2">
        <v>2</v>
      </c>
      <c r="G50" s="2">
        <v>333.53</v>
      </c>
      <c r="H50" s="2">
        <v>667.06</v>
      </c>
      <c r="I50" s="2">
        <v>627.05999999999995</v>
      </c>
      <c r="J50" s="2">
        <v>40</v>
      </c>
      <c r="K50" s="2" t="s">
        <v>18</v>
      </c>
      <c r="L50" s="2" t="s">
        <v>19</v>
      </c>
      <c r="M50" s="2">
        <f t="shared" si="3"/>
        <v>1</v>
      </c>
      <c r="N50" s="2">
        <f t="shared" si="4"/>
        <v>0</v>
      </c>
      <c r="O50" s="2">
        <f t="shared" si="5"/>
        <v>0</v>
      </c>
      <c r="P50" s="2" t="s">
        <v>20</v>
      </c>
      <c r="Q50" s="2" t="s">
        <v>21</v>
      </c>
    </row>
    <row r="51" spans="1:17">
      <c r="A51" s="1">
        <v>45393</v>
      </c>
      <c r="B51" s="2" t="s">
        <v>45</v>
      </c>
      <c r="C51" s="2" t="s">
        <v>44</v>
      </c>
      <c r="D51" s="2" t="s">
        <v>23</v>
      </c>
      <c r="E51" s="2" t="s">
        <v>31</v>
      </c>
      <c r="F51" s="2">
        <v>10</v>
      </c>
      <c r="G51" s="2">
        <v>493.05</v>
      </c>
      <c r="H51" s="2">
        <v>4930.5</v>
      </c>
      <c r="I51" s="2">
        <v>4870.5</v>
      </c>
      <c r="J51" s="2">
        <v>60</v>
      </c>
      <c r="K51" s="2" t="s">
        <v>25</v>
      </c>
      <c r="L51" s="2" t="s">
        <v>33</v>
      </c>
      <c r="M51" s="2">
        <f t="shared" si="3"/>
        <v>0</v>
      </c>
      <c r="N51" s="2">
        <f t="shared" si="4"/>
        <v>0</v>
      </c>
      <c r="O51" s="2">
        <f t="shared" si="5"/>
        <v>1</v>
      </c>
      <c r="P51" s="2" t="s">
        <v>27</v>
      </c>
      <c r="Q51" s="2" t="s">
        <v>28</v>
      </c>
    </row>
    <row r="52" spans="1:17">
      <c r="A52" s="1">
        <v>45314</v>
      </c>
      <c r="B52" s="2" t="s">
        <v>50</v>
      </c>
      <c r="C52" s="2" t="s">
        <v>40</v>
      </c>
      <c r="D52" s="2" t="s">
        <v>16</v>
      </c>
      <c r="E52" s="2" t="s">
        <v>24</v>
      </c>
      <c r="F52" s="2">
        <v>2</v>
      </c>
      <c r="G52" s="2">
        <v>154.16</v>
      </c>
      <c r="H52" s="2">
        <v>308.32</v>
      </c>
      <c r="I52" s="2">
        <v>242.82</v>
      </c>
      <c r="J52" s="2">
        <v>65.5</v>
      </c>
      <c r="K52" s="2" t="s">
        <v>32</v>
      </c>
      <c r="L52" s="2" t="s">
        <v>26</v>
      </c>
      <c r="M52" s="2">
        <f t="shared" si="3"/>
        <v>0</v>
      </c>
      <c r="N52" s="2">
        <f t="shared" si="4"/>
        <v>1</v>
      </c>
      <c r="O52" s="2">
        <f t="shared" si="5"/>
        <v>0</v>
      </c>
      <c r="P52" s="2" t="s">
        <v>34</v>
      </c>
      <c r="Q52" s="2" t="s">
        <v>35</v>
      </c>
    </row>
    <row r="53" spans="1:17">
      <c r="A53" s="1">
        <v>45306</v>
      </c>
      <c r="B53" s="2" t="s">
        <v>58</v>
      </c>
      <c r="C53" s="2" t="s">
        <v>52</v>
      </c>
      <c r="D53" s="2" t="s">
        <v>48</v>
      </c>
      <c r="E53" s="2" t="s">
        <v>31</v>
      </c>
      <c r="F53" s="2">
        <v>10</v>
      </c>
      <c r="G53" s="2">
        <v>294.19</v>
      </c>
      <c r="H53" s="2">
        <v>2941.9</v>
      </c>
      <c r="I53" s="2">
        <v>2892.9</v>
      </c>
      <c r="J53" s="2">
        <v>49</v>
      </c>
      <c r="K53" s="2" t="s">
        <v>18</v>
      </c>
      <c r="L53" s="2" t="s">
        <v>19</v>
      </c>
      <c r="M53" s="2">
        <f t="shared" si="3"/>
        <v>1</v>
      </c>
      <c r="N53" s="2">
        <f t="shared" si="4"/>
        <v>0</v>
      </c>
      <c r="O53" s="2">
        <f t="shared" si="5"/>
        <v>0</v>
      </c>
      <c r="P53" s="2" t="s">
        <v>37</v>
      </c>
      <c r="Q53" s="2" t="s">
        <v>21</v>
      </c>
    </row>
    <row r="54" spans="1:17">
      <c r="A54" s="1">
        <v>45330</v>
      </c>
      <c r="B54" s="2" t="s">
        <v>29</v>
      </c>
      <c r="C54" s="2" t="s">
        <v>30</v>
      </c>
      <c r="D54" s="2" t="s">
        <v>16</v>
      </c>
      <c r="E54" s="2" t="s">
        <v>17</v>
      </c>
      <c r="F54" s="2">
        <v>8</v>
      </c>
      <c r="G54" s="2">
        <v>307.88</v>
      </c>
      <c r="H54" s="2">
        <v>2463.04</v>
      </c>
      <c r="I54" s="2">
        <v>2423.04</v>
      </c>
      <c r="J54" s="2">
        <v>40</v>
      </c>
      <c r="K54" s="2" t="s">
        <v>25</v>
      </c>
      <c r="L54" s="2" t="s">
        <v>33</v>
      </c>
      <c r="M54" s="2">
        <f t="shared" si="3"/>
        <v>0</v>
      </c>
      <c r="N54" s="2">
        <f t="shared" si="4"/>
        <v>0</v>
      </c>
      <c r="O54" s="2">
        <f t="shared" si="5"/>
        <v>1</v>
      </c>
      <c r="P54" s="2" t="s">
        <v>20</v>
      </c>
      <c r="Q54" s="2" t="s">
        <v>28</v>
      </c>
    </row>
    <row r="55" spans="1:17">
      <c r="A55" s="1">
        <v>45373</v>
      </c>
      <c r="B55" s="2" t="s">
        <v>55</v>
      </c>
      <c r="C55" s="2" t="s">
        <v>44</v>
      </c>
      <c r="D55" s="2" t="s">
        <v>48</v>
      </c>
      <c r="E55" s="2" t="s">
        <v>17</v>
      </c>
      <c r="F55" s="2">
        <v>10</v>
      </c>
      <c r="G55" s="2">
        <v>223.77</v>
      </c>
      <c r="H55" s="2">
        <v>2237.6999999999998</v>
      </c>
      <c r="I55" s="2">
        <v>2177.6999999999998</v>
      </c>
      <c r="J55" s="2">
        <v>60</v>
      </c>
      <c r="K55" s="2" t="s">
        <v>32</v>
      </c>
      <c r="L55" s="2" t="s">
        <v>19</v>
      </c>
      <c r="M55" s="2">
        <f t="shared" si="3"/>
        <v>1</v>
      </c>
      <c r="N55" s="2">
        <f t="shared" si="4"/>
        <v>0</v>
      </c>
      <c r="O55" s="2">
        <f t="shared" si="5"/>
        <v>0</v>
      </c>
      <c r="P55" s="2" t="s">
        <v>27</v>
      </c>
      <c r="Q55" s="2" t="s">
        <v>35</v>
      </c>
    </row>
    <row r="56" spans="1:17">
      <c r="A56" s="1">
        <v>45369</v>
      </c>
      <c r="B56" s="2" t="s">
        <v>59</v>
      </c>
      <c r="C56" s="2" t="s">
        <v>30</v>
      </c>
      <c r="D56" s="2" t="s">
        <v>23</v>
      </c>
      <c r="E56" s="2" t="s">
        <v>46</v>
      </c>
      <c r="F56" s="2">
        <v>5</v>
      </c>
      <c r="G56" s="2">
        <v>83.92</v>
      </c>
      <c r="H56" s="2">
        <v>419.6</v>
      </c>
      <c r="I56" s="2">
        <v>354.1</v>
      </c>
      <c r="J56" s="2">
        <v>65.5</v>
      </c>
      <c r="K56" s="2" t="s">
        <v>18</v>
      </c>
      <c r="L56" s="2" t="s">
        <v>26</v>
      </c>
      <c r="M56" s="2">
        <f t="shared" si="3"/>
        <v>0</v>
      </c>
      <c r="N56" s="2">
        <f t="shared" si="4"/>
        <v>1</v>
      </c>
      <c r="O56" s="2">
        <f t="shared" si="5"/>
        <v>0</v>
      </c>
      <c r="P56" s="2" t="s">
        <v>34</v>
      </c>
      <c r="Q56" s="2" t="s">
        <v>21</v>
      </c>
    </row>
    <row r="57" spans="1:17">
      <c r="A57" s="1">
        <v>45501</v>
      </c>
      <c r="B57" s="2" t="s">
        <v>50</v>
      </c>
      <c r="C57" s="2" t="s">
        <v>40</v>
      </c>
      <c r="D57" s="2" t="s">
        <v>49</v>
      </c>
      <c r="E57" s="2" t="s">
        <v>17</v>
      </c>
      <c r="F57" s="2">
        <v>3</v>
      </c>
      <c r="G57" s="2">
        <v>191.55</v>
      </c>
      <c r="H57" s="2">
        <v>574.65</v>
      </c>
      <c r="I57" s="2">
        <v>525.65</v>
      </c>
      <c r="J57" s="2">
        <v>49</v>
      </c>
      <c r="K57" s="2" t="s">
        <v>25</v>
      </c>
      <c r="L57" s="2" t="s">
        <v>33</v>
      </c>
      <c r="M57" s="2">
        <f t="shared" si="3"/>
        <v>0</v>
      </c>
      <c r="N57" s="2">
        <f t="shared" si="4"/>
        <v>0</v>
      </c>
      <c r="O57" s="2">
        <f t="shared" si="5"/>
        <v>1</v>
      </c>
      <c r="P57" s="2" t="s">
        <v>37</v>
      </c>
      <c r="Q57" s="2" t="s">
        <v>28</v>
      </c>
    </row>
    <row r="58" spans="1:17">
      <c r="A58" s="1">
        <v>45536</v>
      </c>
      <c r="B58" s="2" t="s">
        <v>14</v>
      </c>
      <c r="C58" s="2" t="s">
        <v>15</v>
      </c>
      <c r="D58" s="2" t="s">
        <v>48</v>
      </c>
      <c r="E58" s="2" t="s">
        <v>31</v>
      </c>
      <c r="F58" s="2">
        <v>5</v>
      </c>
      <c r="G58" s="2">
        <v>290.39</v>
      </c>
      <c r="H58" s="2">
        <v>1451.95</v>
      </c>
      <c r="I58" s="2">
        <v>1411.95</v>
      </c>
      <c r="J58" s="2">
        <v>40</v>
      </c>
      <c r="K58" s="2" t="s">
        <v>32</v>
      </c>
      <c r="L58" s="2" t="s">
        <v>19</v>
      </c>
      <c r="M58" s="2">
        <f t="shared" si="3"/>
        <v>1</v>
      </c>
      <c r="N58" s="2">
        <f t="shared" si="4"/>
        <v>0</v>
      </c>
      <c r="O58" s="2">
        <f t="shared" si="5"/>
        <v>0</v>
      </c>
      <c r="P58" s="2" t="s">
        <v>20</v>
      </c>
      <c r="Q58" s="2" t="s">
        <v>35</v>
      </c>
    </row>
    <row r="59" spans="1:17">
      <c r="A59" s="1">
        <v>45510</v>
      </c>
      <c r="B59" s="2" t="s">
        <v>54</v>
      </c>
      <c r="C59" s="2" t="s">
        <v>40</v>
      </c>
      <c r="D59" s="2" t="s">
        <v>16</v>
      </c>
      <c r="E59" s="2" t="s">
        <v>17</v>
      </c>
      <c r="F59" s="2">
        <v>8</v>
      </c>
      <c r="G59" s="2">
        <v>89.62</v>
      </c>
      <c r="H59" s="2">
        <v>716.96</v>
      </c>
      <c r="I59" s="2">
        <v>656.96</v>
      </c>
      <c r="J59" s="2">
        <v>60</v>
      </c>
      <c r="K59" s="2" t="s">
        <v>18</v>
      </c>
      <c r="L59" s="2" t="s">
        <v>26</v>
      </c>
      <c r="M59" s="2">
        <f t="shared" si="3"/>
        <v>0</v>
      </c>
      <c r="N59" s="2">
        <f t="shared" si="4"/>
        <v>1</v>
      </c>
      <c r="O59" s="2">
        <f t="shared" si="5"/>
        <v>0</v>
      </c>
      <c r="P59" s="2" t="s">
        <v>27</v>
      </c>
      <c r="Q59" s="2" t="s">
        <v>21</v>
      </c>
    </row>
    <row r="60" spans="1:17">
      <c r="A60" s="1">
        <v>45543</v>
      </c>
      <c r="B60" s="2" t="s">
        <v>59</v>
      </c>
      <c r="C60" s="2" t="s">
        <v>30</v>
      </c>
      <c r="D60" s="2" t="s">
        <v>49</v>
      </c>
      <c r="E60" s="2" t="s">
        <v>24</v>
      </c>
      <c r="F60" s="2">
        <v>7</v>
      </c>
      <c r="G60" s="2">
        <v>252.53</v>
      </c>
      <c r="H60" s="2">
        <v>1767.71</v>
      </c>
      <c r="I60" s="2">
        <v>1702.21</v>
      </c>
      <c r="J60" s="2">
        <v>65.5</v>
      </c>
      <c r="K60" s="2" t="s">
        <v>25</v>
      </c>
      <c r="L60" s="2" t="s">
        <v>19</v>
      </c>
      <c r="M60" s="2">
        <f t="shared" si="3"/>
        <v>1</v>
      </c>
      <c r="N60" s="2">
        <f t="shared" si="4"/>
        <v>0</v>
      </c>
      <c r="O60" s="2">
        <f t="shared" si="5"/>
        <v>0</v>
      </c>
      <c r="P60" s="2" t="s">
        <v>34</v>
      </c>
      <c r="Q60" s="2" t="s">
        <v>28</v>
      </c>
    </row>
    <row r="61" spans="1:17">
      <c r="A61" s="1">
        <v>45332</v>
      </c>
      <c r="B61" s="2" t="s">
        <v>43</v>
      </c>
      <c r="C61" s="2" t="s">
        <v>44</v>
      </c>
      <c r="D61" s="2" t="s">
        <v>42</v>
      </c>
      <c r="E61" s="2" t="s">
        <v>24</v>
      </c>
      <c r="F61" s="2">
        <v>9</v>
      </c>
      <c r="G61" s="2">
        <v>127.33</v>
      </c>
      <c r="H61" s="2">
        <v>1145.97</v>
      </c>
      <c r="I61" s="2">
        <v>1096.97</v>
      </c>
      <c r="J61" s="2">
        <v>49</v>
      </c>
      <c r="K61" s="2" t="s">
        <v>32</v>
      </c>
      <c r="L61" s="2" t="s">
        <v>33</v>
      </c>
      <c r="M61" s="2">
        <f t="shared" si="3"/>
        <v>0</v>
      </c>
      <c r="N61" s="2">
        <f t="shared" si="4"/>
        <v>0</v>
      </c>
      <c r="O61" s="2">
        <f t="shared" si="5"/>
        <v>1</v>
      </c>
      <c r="P61" s="2" t="s">
        <v>37</v>
      </c>
      <c r="Q61" s="2" t="s">
        <v>35</v>
      </c>
    </row>
    <row r="62" spans="1:17">
      <c r="A62" s="1">
        <v>45537</v>
      </c>
      <c r="B62" s="2" t="s">
        <v>53</v>
      </c>
      <c r="C62" s="2" t="s">
        <v>40</v>
      </c>
      <c r="D62" s="2" t="s">
        <v>49</v>
      </c>
      <c r="E62" s="2" t="s">
        <v>17</v>
      </c>
      <c r="F62" s="2">
        <v>4</v>
      </c>
      <c r="G62" s="2">
        <v>165.21</v>
      </c>
      <c r="H62" s="2">
        <v>660.84</v>
      </c>
      <c r="I62" s="2">
        <v>620.84</v>
      </c>
      <c r="J62" s="2">
        <v>40</v>
      </c>
      <c r="K62" s="2" t="s">
        <v>18</v>
      </c>
      <c r="L62" s="2" t="s">
        <v>19</v>
      </c>
      <c r="M62" s="2">
        <f t="shared" si="3"/>
        <v>1</v>
      </c>
      <c r="N62" s="2">
        <f t="shared" si="4"/>
        <v>0</v>
      </c>
      <c r="O62" s="2">
        <f t="shared" si="5"/>
        <v>0</v>
      </c>
      <c r="P62" s="2" t="s">
        <v>20</v>
      </c>
      <c r="Q62" s="2" t="s">
        <v>21</v>
      </c>
    </row>
    <row r="63" spans="1:17">
      <c r="A63" s="1">
        <v>45325</v>
      </c>
      <c r="B63" s="2" t="s">
        <v>38</v>
      </c>
      <c r="C63" s="2" t="s">
        <v>15</v>
      </c>
      <c r="D63" s="2" t="s">
        <v>16</v>
      </c>
      <c r="E63" s="2" t="s">
        <v>17</v>
      </c>
      <c r="F63" s="2">
        <v>8</v>
      </c>
      <c r="G63" s="2">
        <v>292.8</v>
      </c>
      <c r="H63" s="2">
        <v>2342.4</v>
      </c>
      <c r="I63" s="2">
        <v>2282.4</v>
      </c>
      <c r="J63" s="2">
        <v>60</v>
      </c>
      <c r="K63" s="2" t="s">
        <v>25</v>
      </c>
      <c r="L63" s="2" t="s">
        <v>26</v>
      </c>
      <c r="M63" s="2">
        <f t="shared" si="3"/>
        <v>0</v>
      </c>
      <c r="N63" s="2">
        <f t="shared" si="4"/>
        <v>1</v>
      </c>
      <c r="O63" s="2">
        <f t="shared" si="5"/>
        <v>0</v>
      </c>
      <c r="P63" s="2" t="s">
        <v>27</v>
      </c>
      <c r="Q63" s="2" t="s">
        <v>28</v>
      </c>
    </row>
    <row r="64" spans="1:17">
      <c r="A64" s="1">
        <v>45341</v>
      </c>
      <c r="B64" s="2" t="s">
        <v>29</v>
      </c>
      <c r="C64" s="2" t="s">
        <v>30</v>
      </c>
      <c r="D64" s="2" t="s">
        <v>42</v>
      </c>
      <c r="E64" s="2" t="s">
        <v>24</v>
      </c>
      <c r="F64" s="2">
        <v>1</v>
      </c>
      <c r="G64" s="2">
        <v>327.33</v>
      </c>
      <c r="H64" s="2">
        <v>327.33</v>
      </c>
      <c r="I64" s="2">
        <v>261.83</v>
      </c>
      <c r="J64" s="2">
        <v>65.5</v>
      </c>
      <c r="K64" s="2" t="s">
        <v>32</v>
      </c>
      <c r="L64" s="2" t="s">
        <v>19</v>
      </c>
      <c r="M64" s="2">
        <f t="shared" si="3"/>
        <v>1</v>
      </c>
      <c r="N64" s="2">
        <f t="shared" si="4"/>
        <v>0</v>
      </c>
      <c r="O64" s="2">
        <f t="shared" si="5"/>
        <v>0</v>
      </c>
      <c r="P64" s="2" t="s">
        <v>34</v>
      </c>
      <c r="Q64" s="2" t="s">
        <v>35</v>
      </c>
    </row>
    <row r="65" spans="1:17">
      <c r="A65" s="1">
        <v>45437</v>
      </c>
      <c r="B65" s="2" t="s">
        <v>22</v>
      </c>
      <c r="C65" s="2" t="s">
        <v>15</v>
      </c>
      <c r="D65" s="2" t="s">
        <v>48</v>
      </c>
      <c r="E65" s="2" t="s">
        <v>46</v>
      </c>
      <c r="F65" s="2">
        <v>6</v>
      </c>
      <c r="G65" s="2">
        <v>201.52</v>
      </c>
      <c r="H65" s="2">
        <v>1209.1199999999999</v>
      </c>
      <c r="I65" s="2">
        <v>1160.1199999999999</v>
      </c>
      <c r="J65" s="2">
        <v>49</v>
      </c>
      <c r="K65" s="2" t="s">
        <v>18</v>
      </c>
      <c r="L65" s="2" t="s">
        <v>33</v>
      </c>
      <c r="M65" s="2">
        <f t="shared" si="3"/>
        <v>0</v>
      </c>
      <c r="N65" s="2">
        <f t="shared" si="4"/>
        <v>0</v>
      </c>
      <c r="O65" s="2">
        <f t="shared" si="5"/>
        <v>1</v>
      </c>
      <c r="P65" s="2" t="s">
        <v>37</v>
      </c>
      <c r="Q65" s="2" t="s">
        <v>21</v>
      </c>
    </row>
    <row r="66" spans="1:17">
      <c r="A66" s="1">
        <v>45399</v>
      </c>
      <c r="B66" s="2" t="s">
        <v>14</v>
      </c>
      <c r="C66" s="2" t="s">
        <v>15</v>
      </c>
      <c r="D66" s="2" t="s">
        <v>48</v>
      </c>
      <c r="E66" s="2" t="s">
        <v>31</v>
      </c>
      <c r="F66" s="2">
        <v>3</v>
      </c>
      <c r="G66" s="2">
        <v>487.82</v>
      </c>
      <c r="H66" s="2">
        <v>1463.46</v>
      </c>
      <c r="I66" s="2">
        <v>1423.46</v>
      </c>
      <c r="J66" s="2">
        <v>40</v>
      </c>
      <c r="K66" s="2" t="s">
        <v>25</v>
      </c>
      <c r="L66" s="2" t="s">
        <v>19</v>
      </c>
      <c r="M66" s="2">
        <f t="shared" ref="M66:M97" si="6">IF(L66="Completed",1,0)</f>
        <v>1</v>
      </c>
      <c r="N66" s="2">
        <f t="shared" ref="N66:N97" si="7">IF(L66="Pending",1,0)</f>
        <v>0</v>
      </c>
      <c r="O66" s="2">
        <f t="shared" ref="O66:O97" si="8">IF(L66="Cancelled",1,0)</f>
        <v>0</v>
      </c>
      <c r="P66" s="2" t="s">
        <v>20</v>
      </c>
      <c r="Q66" s="2" t="s">
        <v>28</v>
      </c>
    </row>
    <row r="67" spans="1:17">
      <c r="A67" s="1">
        <v>45563</v>
      </c>
      <c r="B67" s="2" t="s">
        <v>43</v>
      </c>
      <c r="C67" s="2" t="s">
        <v>44</v>
      </c>
      <c r="D67" s="2" t="s">
        <v>48</v>
      </c>
      <c r="E67" s="2" t="s">
        <v>46</v>
      </c>
      <c r="F67" s="2">
        <v>9</v>
      </c>
      <c r="G67" s="2">
        <v>334.1</v>
      </c>
      <c r="H67" s="2">
        <v>3006.9</v>
      </c>
      <c r="I67" s="2">
        <v>2946.9</v>
      </c>
      <c r="J67" s="2">
        <v>60</v>
      </c>
      <c r="K67" s="2" t="s">
        <v>32</v>
      </c>
      <c r="L67" s="2" t="s">
        <v>26</v>
      </c>
      <c r="M67" s="2">
        <f t="shared" si="6"/>
        <v>0</v>
      </c>
      <c r="N67" s="2">
        <f t="shared" si="7"/>
        <v>1</v>
      </c>
      <c r="O67" s="2">
        <f t="shared" si="8"/>
        <v>0</v>
      </c>
      <c r="P67" s="2" t="s">
        <v>27</v>
      </c>
      <c r="Q67" s="2" t="s">
        <v>35</v>
      </c>
    </row>
    <row r="68" spans="1:17">
      <c r="A68" s="1">
        <v>45328</v>
      </c>
      <c r="B68" s="2" t="s">
        <v>36</v>
      </c>
      <c r="C68" s="2" t="s">
        <v>15</v>
      </c>
      <c r="D68" s="2" t="s">
        <v>49</v>
      </c>
      <c r="E68" s="2" t="s">
        <v>31</v>
      </c>
      <c r="F68" s="2">
        <v>10</v>
      </c>
      <c r="G68" s="2">
        <v>88.48</v>
      </c>
      <c r="H68" s="2">
        <v>884.8</v>
      </c>
      <c r="I68" s="2">
        <v>819.3</v>
      </c>
      <c r="J68" s="2">
        <v>65.5</v>
      </c>
      <c r="K68" s="2" t="s">
        <v>18</v>
      </c>
      <c r="L68" s="2" t="s">
        <v>19</v>
      </c>
      <c r="M68" s="2">
        <f t="shared" si="6"/>
        <v>1</v>
      </c>
      <c r="N68" s="2">
        <f t="shared" si="7"/>
        <v>0</v>
      </c>
      <c r="O68" s="2">
        <f t="shared" si="8"/>
        <v>0</v>
      </c>
      <c r="P68" s="2" t="s">
        <v>34</v>
      </c>
      <c r="Q68" s="2" t="s">
        <v>21</v>
      </c>
    </row>
    <row r="69" spans="1:17">
      <c r="A69" s="1">
        <v>45371</v>
      </c>
      <c r="B69" s="2" t="s">
        <v>38</v>
      </c>
      <c r="C69" s="2" t="s">
        <v>15</v>
      </c>
      <c r="D69" s="2" t="s">
        <v>23</v>
      </c>
      <c r="E69" s="2" t="s">
        <v>46</v>
      </c>
      <c r="F69" s="2">
        <v>2</v>
      </c>
      <c r="G69" s="2">
        <v>115.48</v>
      </c>
      <c r="H69" s="2">
        <v>230.96</v>
      </c>
      <c r="I69" s="2">
        <v>181.96</v>
      </c>
      <c r="J69" s="2">
        <v>49</v>
      </c>
      <c r="K69" s="2" t="s">
        <v>25</v>
      </c>
      <c r="L69" s="2" t="s">
        <v>33</v>
      </c>
      <c r="M69" s="2">
        <f t="shared" si="6"/>
        <v>0</v>
      </c>
      <c r="N69" s="2">
        <f t="shared" si="7"/>
        <v>0</v>
      </c>
      <c r="O69" s="2">
        <f t="shared" si="8"/>
        <v>1</v>
      </c>
      <c r="P69" s="2" t="s">
        <v>37</v>
      </c>
      <c r="Q69" s="2" t="s">
        <v>28</v>
      </c>
    </row>
    <row r="70" spans="1:17">
      <c r="A70" s="1">
        <v>45425</v>
      </c>
      <c r="B70" s="2" t="s">
        <v>38</v>
      </c>
      <c r="C70" s="2" t="s">
        <v>15</v>
      </c>
      <c r="D70" s="2" t="s">
        <v>49</v>
      </c>
      <c r="E70" s="2" t="s">
        <v>24</v>
      </c>
      <c r="F70" s="2">
        <v>1</v>
      </c>
      <c r="G70" s="2">
        <v>187.15</v>
      </c>
      <c r="H70" s="2">
        <v>187.15</v>
      </c>
      <c r="I70" s="2">
        <v>147.15</v>
      </c>
      <c r="J70" s="2">
        <v>40</v>
      </c>
      <c r="K70" s="2" t="s">
        <v>32</v>
      </c>
      <c r="L70" s="2" t="s">
        <v>26</v>
      </c>
      <c r="M70" s="2">
        <f t="shared" si="6"/>
        <v>0</v>
      </c>
      <c r="N70" s="2">
        <f t="shared" si="7"/>
        <v>1</v>
      </c>
      <c r="O70" s="2">
        <f t="shared" si="8"/>
        <v>0</v>
      </c>
      <c r="P70" s="2" t="s">
        <v>20</v>
      </c>
      <c r="Q70" s="2" t="s">
        <v>35</v>
      </c>
    </row>
    <row r="71" spans="1:17">
      <c r="A71" s="1">
        <v>45430</v>
      </c>
      <c r="B71" s="2" t="s">
        <v>45</v>
      </c>
      <c r="C71" s="2" t="s">
        <v>44</v>
      </c>
      <c r="D71" s="2" t="s">
        <v>48</v>
      </c>
      <c r="E71" s="2" t="s">
        <v>31</v>
      </c>
      <c r="F71" s="2">
        <v>8</v>
      </c>
      <c r="G71" s="2">
        <v>300.43</v>
      </c>
      <c r="H71" s="2">
        <v>2403.44</v>
      </c>
      <c r="I71" s="2">
        <v>2343.44</v>
      </c>
      <c r="J71" s="2">
        <v>60</v>
      </c>
      <c r="K71" s="2" t="s">
        <v>18</v>
      </c>
      <c r="L71" s="2" t="s">
        <v>19</v>
      </c>
      <c r="M71" s="2">
        <f t="shared" si="6"/>
        <v>1</v>
      </c>
      <c r="N71" s="2">
        <f t="shared" si="7"/>
        <v>0</v>
      </c>
      <c r="O71" s="2">
        <f t="shared" si="8"/>
        <v>0</v>
      </c>
      <c r="P71" s="2" t="s">
        <v>27</v>
      </c>
      <c r="Q71" s="2" t="s">
        <v>21</v>
      </c>
    </row>
    <row r="72" spans="1:17">
      <c r="A72" s="1">
        <v>45295</v>
      </c>
      <c r="B72" s="2" t="s">
        <v>53</v>
      </c>
      <c r="C72" s="2" t="s">
        <v>40</v>
      </c>
      <c r="D72" s="2" t="s">
        <v>42</v>
      </c>
      <c r="E72" s="2" t="s">
        <v>31</v>
      </c>
      <c r="F72" s="2">
        <v>3</v>
      </c>
      <c r="G72" s="2">
        <v>22.62</v>
      </c>
      <c r="H72" s="2">
        <v>67.86</v>
      </c>
      <c r="I72" s="2">
        <v>2.3599999999999994</v>
      </c>
      <c r="J72" s="2">
        <v>65.5</v>
      </c>
      <c r="K72" s="2" t="s">
        <v>25</v>
      </c>
      <c r="L72" s="2" t="s">
        <v>19</v>
      </c>
      <c r="M72" s="2">
        <f t="shared" si="6"/>
        <v>1</v>
      </c>
      <c r="N72" s="2">
        <f t="shared" si="7"/>
        <v>0</v>
      </c>
      <c r="O72" s="2">
        <f t="shared" si="8"/>
        <v>0</v>
      </c>
      <c r="P72" s="2" t="s">
        <v>34</v>
      </c>
      <c r="Q72" s="2" t="s">
        <v>28</v>
      </c>
    </row>
    <row r="73" spans="1:17">
      <c r="A73" s="1">
        <v>45384</v>
      </c>
      <c r="B73" s="2" t="s">
        <v>47</v>
      </c>
      <c r="C73" s="2" t="s">
        <v>44</v>
      </c>
      <c r="D73" s="2" t="s">
        <v>49</v>
      </c>
      <c r="E73" s="2" t="s">
        <v>46</v>
      </c>
      <c r="F73" s="2">
        <v>3</v>
      </c>
      <c r="G73" s="2">
        <v>295.91000000000003</v>
      </c>
      <c r="H73" s="2">
        <v>887.73</v>
      </c>
      <c r="I73" s="2">
        <v>838.73</v>
      </c>
      <c r="J73" s="2">
        <v>49</v>
      </c>
      <c r="K73" s="2" t="s">
        <v>32</v>
      </c>
      <c r="L73" s="2" t="s">
        <v>33</v>
      </c>
      <c r="M73" s="2">
        <f t="shared" si="6"/>
        <v>0</v>
      </c>
      <c r="N73" s="2">
        <f t="shared" si="7"/>
        <v>0</v>
      </c>
      <c r="O73" s="2">
        <f t="shared" si="8"/>
        <v>1</v>
      </c>
      <c r="P73" s="2" t="s">
        <v>37</v>
      </c>
      <c r="Q73" s="2" t="s">
        <v>35</v>
      </c>
    </row>
    <row r="74" spans="1:17">
      <c r="A74" s="1">
        <v>45569</v>
      </c>
      <c r="B74" s="2" t="s">
        <v>43</v>
      </c>
      <c r="C74" s="2" t="s">
        <v>44</v>
      </c>
      <c r="D74" s="2" t="s">
        <v>42</v>
      </c>
      <c r="E74" s="2" t="s">
        <v>17</v>
      </c>
      <c r="F74" s="2">
        <v>3</v>
      </c>
      <c r="G74" s="2">
        <v>183.7</v>
      </c>
      <c r="H74" s="2">
        <v>551.1</v>
      </c>
      <c r="I74" s="2">
        <v>511.1</v>
      </c>
      <c r="J74" s="2">
        <v>40</v>
      </c>
      <c r="K74" s="2" t="s">
        <v>18</v>
      </c>
      <c r="L74" s="2" t="s">
        <v>26</v>
      </c>
      <c r="M74" s="2">
        <f t="shared" si="6"/>
        <v>0</v>
      </c>
      <c r="N74" s="2">
        <f t="shared" si="7"/>
        <v>1</v>
      </c>
      <c r="O74" s="2">
        <f t="shared" si="8"/>
        <v>0</v>
      </c>
      <c r="P74" s="2" t="s">
        <v>20</v>
      </c>
      <c r="Q74" s="2" t="s">
        <v>21</v>
      </c>
    </row>
    <row r="75" spans="1:17">
      <c r="A75" s="1">
        <v>45416</v>
      </c>
      <c r="B75" s="2" t="s">
        <v>47</v>
      </c>
      <c r="C75" s="2" t="s">
        <v>44</v>
      </c>
      <c r="D75" s="2" t="s">
        <v>48</v>
      </c>
      <c r="E75" s="2" t="s">
        <v>24</v>
      </c>
      <c r="F75" s="2">
        <v>3</v>
      </c>
      <c r="G75" s="2">
        <v>269.45999999999998</v>
      </c>
      <c r="H75" s="2">
        <v>808.38</v>
      </c>
      <c r="I75" s="2">
        <v>748.38</v>
      </c>
      <c r="J75" s="2">
        <v>60</v>
      </c>
      <c r="K75" s="2" t="s">
        <v>25</v>
      </c>
      <c r="L75" s="2" t="s">
        <v>19</v>
      </c>
      <c r="M75" s="2">
        <f t="shared" si="6"/>
        <v>1</v>
      </c>
      <c r="N75" s="2">
        <f t="shared" si="7"/>
        <v>0</v>
      </c>
      <c r="O75" s="2">
        <f t="shared" si="8"/>
        <v>0</v>
      </c>
      <c r="P75" s="2" t="s">
        <v>27</v>
      </c>
      <c r="Q75" s="2" t="s">
        <v>28</v>
      </c>
    </row>
    <row r="76" spans="1:17">
      <c r="A76" s="1">
        <v>45486</v>
      </c>
      <c r="B76" s="2" t="s">
        <v>47</v>
      </c>
      <c r="C76" s="2" t="s">
        <v>44</v>
      </c>
      <c r="D76" s="2" t="s">
        <v>23</v>
      </c>
      <c r="E76" s="2" t="s">
        <v>17</v>
      </c>
      <c r="F76" s="2">
        <v>4</v>
      </c>
      <c r="G76" s="2">
        <v>211.28</v>
      </c>
      <c r="H76" s="2">
        <v>845.12</v>
      </c>
      <c r="I76" s="2">
        <v>779.62</v>
      </c>
      <c r="J76" s="2">
        <v>65.5</v>
      </c>
      <c r="K76" s="2" t="s">
        <v>32</v>
      </c>
      <c r="L76" s="2" t="s">
        <v>26</v>
      </c>
      <c r="M76" s="2">
        <f t="shared" si="6"/>
        <v>0</v>
      </c>
      <c r="N76" s="2">
        <f t="shared" si="7"/>
        <v>1</v>
      </c>
      <c r="O76" s="2">
        <f t="shared" si="8"/>
        <v>0</v>
      </c>
      <c r="P76" s="2" t="s">
        <v>34</v>
      </c>
      <c r="Q76" s="2" t="s">
        <v>35</v>
      </c>
    </row>
    <row r="77" spans="1:17">
      <c r="A77" s="1">
        <v>45490</v>
      </c>
      <c r="B77" s="2" t="s">
        <v>22</v>
      </c>
      <c r="C77" s="2" t="s">
        <v>15</v>
      </c>
      <c r="D77" s="2" t="s">
        <v>42</v>
      </c>
      <c r="E77" s="2" t="s">
        <v>24</v>
      </c>
      <c r="F77" s="2">
        <v>5</v>
      </c>
      <c r="G77" s="2">
        <v>362.47</v>
      </c>
      <c r="H77" s="2">
        <v>1812.35</v>
      </c>
      <c r="I77" s="2">
        <v>1763.35</v>
      </c>
      <c r="J77" s="2">
        <v>49</v>
      </c>
      <c r="K77" s="2" t="s">
        <v>18</v>
      </c>
      <c r="L77" s="2" t="s">
        <v>19</v>
      </c>
      <c r="M77" s="2">
        <f t="shared" si="6"/>
        <v>1</v>
      </c>
      <c r="N77" s="2">
        <f t="shared" si="7"/>
        <v>0</v>
      </c>
      <c r="O77" s="2">
        <f t="shared" si="8"/>
        <v>0</v>
      </c>
      <c r="P77" s="2" t="s">
        <v>37</v>
      </c>
      <c r="Q77" s="2" t="s">
        <v>21</v>
      </c>
    </row>
    <row r="78" spans="1:17">
      <c r="A78" s="1">
        <v>45318</v>
      </c>
      <c r="B78" s="2" t="s">
        <v>51</v>
      </c>
      <c r="C78" s="2" t="s">
        <v>52</v>
      </c>
      <c r="D78" s="2" t="s">
        <v>48</v>
      </c>
      <c r="E78" s="2" t="s">
        <v>46</v>
      </c>
      <c r="F78" s="2">
        <v>8</v>
      </c>
      <c r="G78" s="2">
        <v>259.56</v>
      </c>
      <c r="H78" s="2">
        <v>2076.48</v>
      </c>
      <c r="I78" s="2">
        <v>2036.48</v>
      </c>
      <c r="J78" s="2">
        <v>40</v>
      </c>
      <c r="K78" s="2" t="s">
        <v>25</v>
      </c>
      <c r="L78" s="2" t="s">
        <v>19</v>
      </c>
      <c r="M78" s="2">
        <f t="shared" si="6"/>
        <v>1</v>
      </c>
      <c r="N78" s="2">
        <f t="shared" si="7"/>
        <v>0</v>
      </c>
      <c r="O78" s="2">
        <f t="shared" si="8"/>
        <v>0</v>
      </c>
      <c r="P78" s="2" t="s">
        <v>20</v>
      </c>
      <c r="Q78" s="2" t="s">
        <v>28</v>
      </c>
    </row>
    <row r="79" spans="1:17">
      <c r="A79" s="1">
        <v>45330</v>
      </c>
      <c r="B79" s="2" t="s">
        <v>22</v>
      </c>
      <c r="C79" s="2" t="s">
        <v>15</v>
      </c>
      <c r="D79" s="2" t="s">
        <v>42</v>
      </c>
      <c r="E79" s="2" t="s">
        <v>46</v>
      </c>
      <c r="F79" s="2">
        <v>1</v>
      </c>
      <c r="G79" s="2">
        <v>134.63</v>
      </c>
      <c r="H79" s="2">
        <v>134.63</v>
      </c>
      <c r="I79" s="2">
        <v>74.63</v>
      </c>
      <c r="J79" s="2">
        <v>60</v>
      </c>
      <c r="K79" s="2" t="s">
        <v>32</v>
      </c>
      <c r="L79" s="2" t="s">
        <v>33</v>
      </c>
      <c r="M79" s="2">
        <f t="shared" si="6"/>
        <v>0</v>
      </c>
      <c r="N79" s="2">
        <f t="shared" si="7"/>
        <v>0</v>
      </c>
      <c r="O79" s="2">
        <f t="shared" si="8"/>
        <v>1</v>
      </c>
      <c r="P79" s="2" t="s">
        <v>27</v>
      </c>
      <c r="Q79" s="2" t="s">
        <v>35</v>
      </c>
    </row>
    <row r="80" spans="1:17">
      <c r="A80" s="1">
        <v>45351</v>
      </c>
      <c r="B80" s="2" t="s">
        <v>47</v>
      </c>
      <c r="C80" s="2" t="s">
        <v>44</v>
      </c>
      <c r="D80" s="2" t="s">
        <v>48</v>
      </c>
      <c r="E80" s="2" t="s">
        <v>24</v>
      </c>
      <c r="F80" s="2">
        <v>10</v>
      </c>
      <c r="G80" s="2">
        <v>272.01</v>
      </c>
      <c r="H80" s="2">
        <v>2720.1</v>
      </c>
      <c r="I80" s="2">
        <v>2654.6</v>
      </c>
      <c r="J80" s="2">
        <v>65.5</v>
      </c>
      <c r="K80" s="2" t="s">
        <v>18</v>
      </c>
      <c r="L80" s="2" t="s">
        <v>26</v>
      </c>
      <c r="M80" s="2">
        <f t="shared" si="6"/>
        <v>0</v>
      </c>
      <c r="N80" s="2">
        <f t="shared" si="7"/>
        <v>1</v>
      </c>
      <c r="O80" s="2">
        <f t="shared" si="8"/>
        <v>0</v>
      </c>
      <c r="P80" s="2" t="s">
        <v>34</v>
      </c>
      <c r="Q80" s="2" t="s">
        <v>21</v>
      </c>
    </row>
    <row r="81" spans="1:17">
      <c r="A81" s="1">
        <v>45473</v>
      </c>
      <c r="B81" s="2" t="s">
        <v>39</v>
      </c>
      <c r="C81" s="2" t="s">
        <v>40</v>
      </c>
      <c r="D81" s="2" t="s">
        <v>48</v>
      </c>
      <c r="E81" s="2" t="s">
        <v>46</v>
      </c>
      <c r="F81" s="2">
        <v>4</v>
      </c>
      <c r="G81" s="2">
        <v>265.89</v>
      </c>
      <c r="H81" s="2">
        <v>1063.56</v>
      </c>
      <c r="I81" s="2">
        <v>1014.56</v>
      </c>
      <c r="J81" s="2">
        <v>49</v>
      </c>
      <c r="K81" s="2" t="s">
        <v>25</v>
      </c>
      <c r="L81" s="2" t="s">
        <v>19</v>
      </c>
      <c r="M81" s="2">
        <f t="shared" si="6"/>
        <v>1</v>
      </c>
      <c r="N81" s="2">
        <f t="shared" si="7"/>
        <v>0</v>
      </c>
      <c r="O81" s="2">
        <f t="shared" si="8"/>
        <v>0</v>
      </c>
      <c r="P81" s="2" t="s">
        <v>37</v>
      </c>
      <c r="Q81" s="2" t="s">
        <v>28</v>
      </c>
    </row>
    <row r="82" spans="1:17">
      <c r="A82" s="1">
        <v>45558</v>
      </c>
      <c r="B82" s="2" t="s">
        <v>43</v>
      </c>
      <c r="C82" s="2" t="s">
        <v>44</v>
      </c>
      <c r="D82" s="2" t="s">
        <v>16</v>
      </c>
      <c r="E82" s="2" t="s">
        <v>24</v>
      </c>
      <c r="F82" s="2">
        <v>4</v>
      </c>
      <c r="G82" s="2">
        <v>327.41000000000003</v>
      </c>
      <c r="H82" s="2">
        <v>1309.6400000000001</v>
      </c>
      <c r="I82" s="2">
        <v>1269.6400000000001</v>
      </c>
      <c r="J82" s="2">
        <v>40</v>
      </c>
      <c r="K82" s="2" t="s">
        <v>32</v>
      </c>
      <c r="L82" s="2" t="s">
        <v>19</v>
      </c>
      <c r="M82" s="2">
        <f t="shared" si="6"/>
        <v>1</v>
      </c>
      <c r="N82" s="2">
        <f t="shared" si="7"/>
        <v>0</v>
      </c>
      <c r="O82" s="2">
        <f t="shared" si="8"/>
        <v>0</v>
      </c>
      <c r="P82" s="2" t="s">
        <v>20</v>
      </c>
      <c r="Q82" s="2" t="s">
        <v>35</v>
      </c>
    </row>
    <row r="83" spans="1:17">
      <c r="A83" s="1">
        <v>45309</v>
      </c>
      <c r="B83" s="2" t="s">
        <v>41</v>
      </c>
      <c r="C83" s="2" t="s">
        <v>30</v>
      </c>
      <c r="D83" s="2" t="s">
        <v>16</v>
      </c>
      <c r="E83" s="2" t="s">
        <v>17</v>
      </c>
      <c r="F83" s="2">
        <v>2</v>
      </c>
      <c r="G83" s="2">
        <v>395.91</v>
      </c>
      <c r="H83" s="2">
        <v>791.82</v>
      </c>
      <c r="I83" s="2">
        <v>731.82</v>
      </c>
      <c r="J83" s="2">
        <v>60</v>
      </c>
      <c r="K83" s="2" t="s">
        <v>18</v>
      </c>
      <c r="L83" s="2" t="s">
        <v>33</v>
      </c>
      <c r="M83" s="2">
        <f t="shared" si="6"/>
        <v>0</v>
      </c>
      <c r="N83" s="2">
        <f t="shared" si="7"/>
        <v>0</v>
      </c>
      <c r="O83" s="2">
        <f t="shared" si="8"/>
        <v>1</v>
      </c>
      <c r="P83" s="2" t="s">
        <v>27</v>
      </c>
      <c r="Q83" s="2" t="s">
        <v>21</v>
      </c>
    </row>
    <row r="84" spans="1:17">
      <c r="A84" s="1">
        <v>45421</v>
      </c>
      <c r="B84" s="2" t="s">
        <v>45</v>
      </c>
      <c r="C84" s="2" t="s">
        <v>44</v>
      </c>
      <c r="D84" s="2" t="s">
        <v>23</v>
      </c>
      <c r="E84" s="2" t="s">
        <v>24</v>
      </c>
      <c r="F84" s="2">
        <v>10</v>
      </c>
      <c r="G84" s="2">
        <v>66.56</v>
      </c>
      <c r="H84" s="2">
        <v>665.6</v>
      </c>
      <c r="I84" s="2">
        <v>600.1</v>
      </c>
      <c r="J84" s="2">
        <v>65.5</v>
      </c>
      <c r="K84" s="2" t="s">
        <v>25</v>
      </c>
      <c r="L84" s="2" t="s">
        <v>26</v>
      </c>
      <c r="M84" s="2">
        <f t="shared" si="6"/>
        <v>0</v>
      </c>
      <c r="N84" s="2">
        <f t="shared" si="7"/>
        <v>1</v>
      </c>
      <c r="O84" s="2">
        <f t="shared" si="8"/>
        <v>0</v>
      </c>
      <c r="P84" s="2" t="s">
        <v>34</v>
      </c>
      <c r="Q84" s="2" t="s">
        <v>28</v>
      </c>
    </row>
    <row r="85" spans="1:17">
      <c r="A85" s="1">
        <v>45469</v>
      </c>
      <c r="B85" s="2" t="s">
        <v>39</v>
      </c>
      <c r="C85" s="2" t="s">
        <v>40</v>
      </c>
      <c r="D85" s="2" t="s">
        <v>48</v>
      </c>
      <c r="E85" s="2" t="s">
        <v>31</v>
      </c>
      <c r="F85" s="2">
        <v>5</v>
      </c>
      <c r="G85" s="2">
        <v>432.3</v>
      </c>
      <c r="H85" s="2">
        <v>2161.5</v>
      </c>
      <c r="I85" s="2">
        <v>2112.5</v>
      </c>
      <c r="J85" s="2">
        <v>49</v>
      </c>
      <c r="K85" s="2" t="s">
        <v>32</v>
      </c>
      <c r="L85" s="2" t="s">
        <v>19</v>
      </c>
      <c r="M85" s="2">
        <f t="shared" si="6"/>
        <v>1</v>
      </c>
      <c r="N85" s="2">
        <f t="shared" si="7"/>
        <v>0</v>
      </c>
      <c r="O85" s="2">
        <f t="shared" si="8"/>
        <v>0</v>
      </c>
      <c r="P85" s="2" t="s">
        <v>37</v>
      </c>
      <c r="Q85" s="2" t="s">
        <v>35</v>
      </c>
    </row>
    <row r="86" spans="1:17">
      <c r="A86" s="1">
        <v>45549</v>
      </c>
      <c r="B86" s="2" t="s">
        <v>38</v>
      </c>
      <c r="C86" s="2" t="s">
        <v>15</v>
      </c>
      <c r="D86" s="2" t="s">
        <v>42</v>
      </c>
      <c r="E86" s="2" t="s">
        <v>31</v>
      </c>
      <c r="F86" s="2">
        <v>7</v>
      </c>
      <c r="G86" s="2">
        <v>272.05</v>
      </c>
      <c r="H86" s="2">
        <v>1904.35</v>
      </c>
      <c r="I86" s="2">
        <v>1864.35</v>
      </c>
      <c r="J86" s="2">
        <v>40</v>
      </c>
      <c r="K86" s="2" t="s">
        <v>18</v>
      </c>
      <c r="L86" s="2" t="s">
        <v>19</v>
      </c>
      <c r="M86" s="2">
        <f t="shared" si="6"/>
        <v>1</v>
      </c>
      <c r="N86" s="2">
        <f t="shared" si="7"/>
        <v>0</v>
      </c>
      <c r="O86" s="2">
        <f t="shared" si="8"/>
        <v>0</v>
      </c>
      <c r="P86" s="2" t="s">
        <v>20</v>
      </c>
      <c r="Q86" s="2" t="s">
        <v>21</v>
      </c>
    </row>
    <row r="87" spans="1:17">
      <c r="A87" s="1">
        <v>45484</v>
      </c>
      <c r="B87" s="2" t="s">
        <v>41</v>
      </c>
      <c r="C87" s="2" t="s">
        <v>30</v>
      </c>
      <c r="D87" s="2" t="s">
        <v>48</v>
      </c>
      <c r="E87" s="2" t="s">
        <v>46</v>
      </c>
      <c r="F87" s="2">
        <v>7</v>
      </c>
      <c r="G87" s="2">
        <v>301.27999999999997</v>
      </c>
      <c r="H87" s="2">
        <v>2108.96</v>
      </c>
      <c r="I87" s="2">
        <v>2048.96</v>
      </c>
      <c r="J87" s="2">
        <v>60</v>
      </c>
      <c r="K87" s="2" t="s">
        <v>25</v>
      </c>
      <c r="L87" s="2" t="s">
        <v>33</v>
      </c>
      <c r="M87" s="2">
        <f t="shared" si="6"/>
        <v>0</v>
      </c>
      <c r="N87" s="2">
        <f t="shared" si="7"/>
        <v>0</v>
      </c>
      <c r="O87" s="2">
        <f t="shared" si="8"/>
        <v>1</v>
      </c>
      <c r="P87" s="2" t="s">
        <v>27</v>
      </c>
      <c r="Q87" s="2" t="s">
        <v>28</v>
      </c>
    </row>
    <row r="88" spans="1:17">
      <c r="A88" s="1">
        <v>45450</v>
      </c>
      <c r="B88" s="2" t="s">
        <v>38</v>
      </c>
      <c r="C88" s="2" t="s">
        <v>15</v>
      </c>
      <c r="D88" s="2" t="s">
        <v>42</v>
      </c>
      <c r="E88" s="2" t="s">
        <v>17</v>
      </c>
      <c r="F88" s="2">
        <v>9</v>
      </c>
      <c r="G88" s="2">
        <v>23.52</v>
      </c>
      <c r="H88" s="2">
        <v>211.68</v>
      </c>
      <c r="I88" s="2">
        <v>146.18</v>
      </c>
      <c r="J88" s="2">
        <v>65.5</v>
      </c>
      <c r="K88" s="2" t="s">
        <v>32</v>
      </c>
      <c r="L88" s="2" t="s">
        <v>19</v>
      </c>
      <c r="M88" s="2">
        <f t="shared" si="6"/>
        <v>1</v>
      </c>
      <c r="N88" s="2">
        <f t="shared" si="7"/>
        <v>0</v>
      </c>
      <c r="O88" s="2">
        <f t="shared" si="8"/>
        <v>0</v>
      </c>
      <c r="P88" s="2" t="s">
        <v>34</v>
      </c>
      <c r="Q88" s="2" t="s">
        <v>35</v>
      </c>
    </row>
    <row r="89" spans="1:17">
      <c r="A89" s="1">
        <v>45491</v>
      </c>
      <c r="B89" s="2" t="s">
        <v>58</v>
      </c>
      <c r="C89" s="2" t="s">
        <v>52</v>
      </c>
      <c r="D89" s="2" t="s">
        <v>23</v>
      </c>
      <c r="E89" s="2" t="s">
        <v>17</v>
      </c>
      <c r="F89" s="2">
        <v>6</v>
      </c>
      <c r="G89" s="2">
        <v>281.85000000000002</v>
      </c>
      <c r="H89" s="2">
        <v>1691.1</v>
      </c>
      <c r="I89" s="2">
        <v>1642.1</v>
      </c>
      <c r="J89" s="2">
        <v>49</v>
      </c>
      <c r="K89" s="2" t="s">
        <v>18</v>
      </c>
      <c r="L89" s="2" t="s">
        <v>26</v>
      </c>
      <c r="M89" s="2">
        <f t="shared" si="6"/>
        <v>0</v>
      </c>
      <c r="N89" s="2">
        <f t="shared" si="7"/>
        <v>1</v>
      </c>
      <c r="O89" s="2">
        <f t="shared" si="8"/>
        <v>0</v>
      </c>
      <c r="P89" s="2" t="s">
        <v>37</v>
      </c>
      <c r="Q89" s="2" t="s">
        <v>21</v>
      </c>
    </row>
    <row r="90" spans="1:17">
      <c r="A90" s="1">
        <v>45489</v>
      </c>
      <c r="B90" s="2" t="s">
        <v>14</v>
      </c>
      <c r="C90" s="2" t="s">
        <v>15</v>
      </c>
      <c r="D90" s="2" t="s">
        <v>48</v>
      </c>
      <c r="E90" s="2" t="s">
        <v>31</v>
      </c>
      <c r="F90" s="2">
        <v>6</v>
      </c>
      <c r="G90" s="2">
        <v>157.88</v>
      </c>
      <c r="H90" s="2">
        <v>947.28</v>
      </c>
      <c r="I90" s="2">
        <v>907.28</v>
      </c>
      <c r="J90" s="2">
        <v>40</v>
      </c>
      <c r="K90" s="2" t="s">
        <v>25</v>
      </c>
      <c r="L90" s="2" t="s">
        <v>33</v>
      </c>
      <c r="M90" s="2">
        <f t="shared" si="6"/>
        <v>0</v>
      </c>
      <c r="N90" s="2">
        <f t="shared" si="7"/>
        <v>0</v>
      </c>
      <c r="O90" s="2">
        <f t="shared" si="8"/>
        <v>1</v>
      </c>
      <c r="P90" s="2" t="s">
        <v>20</v>
      </c>
      <c r="Q90" s="2" t="s">
        <v>28</v>
      </c>
    </row>
    <row r="91" spans="1:17">
      <c r="A91" s="1">
        <v>45566</v>
      </c>
      <c r="B91" s="2" t="s">
        <v>58</v>
      </c>
      <c r="C91" s="2" t="s">
        <v>52</v>
      </c>
      <c r="D91" s="2" t="s">
        <v>23</v>
      </c>
      <c r="E91" s="2" t="s">
        <v>17</v>
      </c>
      <c r="F91" s="2">
        <v>7</v>
      </c>
      <c r="G91" s="2">
        <v>98.66</v>
      </c>
      <c r="H91" s="2">
        <v>690.62</v>
      </c>
      <c r="I91" s="2">
        <v>630.62</v>
      </c>
      <c r="J91" s="2">
        <v>60</v>
      </c>
      <c r="K91" s="2" t="s">
        <v>32</v>
      </c>
      <c r="L91" s="2" t="s">
        <v>19</v>
      </c>
      <c r="M91" s="2">
        <f t="shared" si="6"/>
        <v>1</v>
      </c>
      <c r="N91" s="2">
        <f t="shared" si="7"/>
        <v>0</v>
      </c>
      <c r="O91" s="2">
        <f t="shared" si="8"/>
        <v>0</v>
      </c>
      <c r="P91" s="2" t="s">
        <v>27</v>
      </c>
      <c r="Q91" s="2" t="s">
        <v>35</v>
      </c>
    </row>
    <row r="92" spans="1:17">
      <c r="A92" s="1">
        <v>45359</v>
      </c>
      <c r="B92" s="2" t="s">
        <v>58</v>
      </c>
      <c r="C92" s="2" t="s">
        <v>52</v>
      </c>
      <c r="D92" s="2" t="s">
        <v>42</v>
      </c>
      <c r="E92" s="2" t="s">
        <v>31</v>
      </c>
      <c r="F92" s="2">
        <v>2</v>
      </c>
      <c r="G92" s="2">
        <v>37.119999999999997</v>
      </c>
      <c r="H92" s="2">
        <v>74.239999999999995</v>
      </c>
      <c r="I92" s="2">
        <v>8.7399999999999949</v>
      </c>
      <c r="J92" s="2">
        <v>65.5</v>
      </c>
      <c r="K92" s="2" t="s">
        <v>18</v>
      </c>
      <c r="L92" s="2" t="s">
        <v>26</v>
      </c>
      <c r="M92" s="2">
        <f t="shared" si="6"/>
        <v>0</v>
      </c>
      <c r="N92" s="2">
        <f t="shared" si="7"/>
        <v>1</v>
      </c>
      <c r="O92" s="2">
        <f t="shared" si="8"/>
        <v>0</v>
      </c>
      <c r="P92" s="2" t="s">
        <v>34</v>
      </c>
      <c r="Q92" s="2" t="s">
        <v>21</v>
      </c>
    </row>
    <row r="93" spans="1:17">
      <c r="A93" s="1">
        <v>45561</v>
      </c>
      <c r="B93" s="2" t="s">
        <v>53</v>
      </c>
      <c r="C93" s="2" t="s">
        <v>40</v>
      </c>
      <c r="D93" s="2" t="s">
        <v>42</v>
      </c>
      <c r="E93" s="2" t="s">
        <v>17</v>
      </c>
      <c r="F93" s="2">
        <v>9</v>
      </c>
      <c r="G93" s="2">
        <v>191.38</v>
      </c>
      <c r="H93" s="2">
        <v>1722.42</v>
      </c>
      <c r="I93" s="2">
        <v>1673.42</v>
      </c>
      <c r="J93" s="2">
        <v>49</v>
      </c>
      <c r="K93" s="2" t="s">
        <v>25</v>
      </c>
      <c r="L93" s="2" t="s">
        <v>33</v>
      </c>
      <c r="M93" s="2">
        <f t="shared" si="6"/>
        <v>0</v>
      </c>
      <c r="N93" s="2">
        <f t="shared" si="7"/>
        <v>0</v>
      </c>
      <c r="O93" s="2">
        <f t="shared" si="8"/>
        <v>1</v>
      </c>
      <c r="P93" s="2" t="s">
        <v>37</v>
      </c>
      <c r="Q93" s="2" t="s">
        <v>28</v>
      </c>
    </row>
    <row r="94" spans="1:17">
      <c r="A94" s="1">
        <v>45403</v>
      </c>
      <c r="B94" s="2" t="s">
        <v>50</v>
      </c>
      <c r="C94" s="2" t="s">
        <v>40</v>
      </c>
      <c r="D94" s="2" t="s">
        <v>48</v>
      </c>
      <c r="E94" s="2" t="s">
        <v>24</v>
      </c>
      <c r="F94" s="2">
        <v>2</v>
      </c>
      <c r="G94" s="2">
        <v>301.12</v>
      </c>
      <c r="H94" s="2">
        <v>602.24</v>
      </c>
      <c r="I94" s="2">
        <v>562.24</v>
      </c>
      <c r="J94" s="2">
        <v>40</v>
      </c>
      <c r="K94" s="2" t="s">
        <v>32</v>
      </c>
      <c r="L94" s="2" t="s">
        <v>19</v>
      </c>
      <c r="M94" s="2">
        <f t="shared" si="6"/>
        <v>1</v>
      </c>
      <c r="N94" s="2">
        <f t="shared" si="7"/>
        <v>0</v>
      </c>
      <c r="O94" s="2">
        <f t="shared" si="8"/>
        <v>0</v>
      </c>
      <c r="P94" s="2" t="s">
        <v>20</v>
      </c>
      <c r="Q94" s="2" t="s">
        <v>35</v>
      </c>
    </row>
    <row r="95" spans="1:17">
      <c r="A95" s="1">
        <v>45537</v>
      </c>
      <c r="B95" s="2" t="s">
        <v>56</v>
      </c>
      <c r="C95" s="2" t="s">
        <v>52</v>
      </c>
      <c r="D95" s="2" t="s">
        <v>49</v>
      </c>
      <c r="E95" s="2" t="s">
        <v>46</v>
      </c>
      <c r="F95" s="2">
        <v>4</v>
      </c>
      <c r="G95" s="2">
        <v>415.24</v>
      </c>
      <c r="H95" s="2">
        <v>1660.96</v>
      </c>
      <c r="I95" s="2">
        <v>1600.96</v>
      </c>
      <c r="J95" s="2">
        <v>60</v>
      </c>
      <c r="K95" s="2" t="s">
        <v>18</v>
      </c>
      <c r="L95" s="2" t="s">
        <v>19</v>
      </c>
      <c r="M95" s="2">
        <f t="shared" si="6"/>
        <v>1</v>
      </c>
      <c r="N95" s="2">
        <f t="shared" si="7"/>
        <v>0</v>
      </c>
      <c r="O95" s="2">
        <f t="shared" si="8"/>
        <v>0</v>
      </c>
      <c r="P95" s="2" t="s">
        <v>27</v>
      </c>
      <c r="Q95" s="2" t="s">
        <v>21</v>
      </c>
    </row>
    <row r="96" spans="1:17">
      <c r="A96" s="1">
        <v>45321</v>
      </c>
      <c r="B96" s="2" t="s">
        <v>50</v>
      </c>
      <c r="C96" s="2" t="s">
        <v>40</v>
      </c>
      <c r="D96" s="2" t="s">
        <v>42</v>
      </c>
      <c r="E96" s="2" t="s">
        <v>17</v>
      </c>
      <c r="F96" s="2">
        <v>3</v>
      </c>
      <c r="G96" s="2">
        <v>115.83</v>
      </c>
      <c r="H96" s="2">
        <v>347.49</v>
      </c>
      <c r="I96" s="2">
        <v>281.99</v>
      </c>
      <c r="J96" s="2">
        <v>65.5</v>
      </c>
      <c r="K96" s="2" t="s">
        <v>25</v>
      </c>
      <c r="L96" s="2" t="s">
        <v>26</v>
      </c>
      <c r="M96" s="2">
        <f t="shared" si="6"/>
        <v>0</v>
      </c>
      <c r="N96" s="2">
        <f t="shared" si="7"/>
        <v>1</v>
      </c>
      <c r="O96" s="2">
        <f t="shared" si="8"/>
        <v>0</v>
      </c>
      <c r="P96" s="2" t="s">
        <v>34</v>
      </c>
      <c r="Q96" s="2" t="s">
        <v>28</v>
      </c>
    </row>
    <row r="97" spans="1:17">
      <c r="A97" s="1">
        <v>45311</v>
      </c>
      <c r="B97" s="2" t="s">
        <v>59</v>
      </c>
      <c r="C97" s="2" t="s">
        <v>30</v>
      </c>
      <c r="D97" s="2" t="s">
        <v>42</v>
      </c>
      <c r="E97" s="2" t="s">
        <v>46</v>
      </c>
      <c r="F97" s="2">
        <v>6</v>
      </c>
      <c r="G97" s="2">
        <v>229.86</v>
      </c>
      <c r="H97" s="2">
        <v>1379.16</v>
      </c>
      <c r="I97" s="2">
        <v>1330.16</v>
      </c>
      <c r="J97" s="2">
        <v>49</v>
      </c>
      <c r="K97" s="2" t="s">
        <v>32</v>
      </c>
      <c r="L97" s="2" t="s">
        <v>19</v>
      </c>
      <c r="M97" s="2">
        <f t="shared" si="6"/>
        <v>1</v>
      </c>
      <c r="N97" s="2">
        <f t="shared" si="7"/>
        <v>0</v>
      </c>
      <c r="O97" s="2">
        <f t="shared" si="8"/>
        <v>0</v>
      </c>
      <c r="P97" s="2" t="s">
        <v>37</v>
      </c>
      <c r="Q97" s="2" t="s">
        <v>35</v>
      </c>
    </row>
    <row r="98" spans="1:17">
      <c r="A98" s="1">
        <v>45552</v>
      </c>
      <c r="B98" s="2" t="s">
        <v>45</v>
      </c>
      <c r="C98" s="2" t="s">
        <v>44</v>
      </c>
      <c r="D98" s="2" t="s">
        <v>48</v>
      </c>
      <c r="E98" s="2" t="s">
        <v>31</v>
      </c>
      <c r="F98" s="2">
        <v>10</v>
      </c>
      <c r="G98" s="2">
        <v>98.84</v>
      </c>
      <c r="H98" s="2">
        <v>988.4</v>
      </c>
      <c r="I98" s="2">
        <v>948.4</v>
      </c>
      <c r="J98" s="2">
        <v>40</v>
      </c>
      <c r="K98" s="2" t="s">
        <v>18</v>
      </c>
      <c r="L98" s="2" t="s">
        <v>33</v>
      </c>
      <c r="M98" s="2">
        <f t="shared" ref="M98:M129" si="9">IF(L98="Completed",1,0)</f>
        <v>0</v>
      </c>
      <c r="N98" s="2">
        <f t="shared" ref="N98:N129" si="10">IF(L98="Pending",1,0)</f>
        <v>0</v>
      </c>
      <c r="O98" s="2">
        <f t="shared" ref="O98:O129" si="11">IF(L98="Cancelled",1,0)</f>
        <v>1</v>
      </c>
      <c r="P98" s="2" t="s">
        <v>20</v>
      </c>
      <c r="Q98" s="2" t="s">
        <v>21</v>
      </c>
    </row>
    <row r="99" spans="1:17">
      <c r="A99" s="1">
        <v>45538</v>
      </c>
      <c r="B99" s="2" t="s">
        <v>60</v>
      </c>
      <c r="C99" s="2" t="s">
        <v>52</v>
      </c>
      <c r="D99" s="2" t="s">
        <v>48</v>
      </c>
      <c r="E99" s="2" t="s">
        <v>24</v>
      </c>
      <c r="F99" s="2">
        <v>10</v>
      </c>
      <c r="G99" s="2">
        <v>200.83</v>
      </c>
      <c r="H99" s="2">
        <v>2008.3</v>
      </c>
      <c r="I99" s="2">
        <v>1948.3</v>
      </c>
      <c r="J99" s="2">
        <v>60</v>
      </c>
      <c r="K99" s="2" t="s">
        <v>25</v>
      </c>
      <c r="L99" s="2" t="s">
        <v>26</v>
      </c>
      <c r="M99" s="2">
        <f t="shared" si="9"/>
        <v>0</v>
      </c>
      <c r="N99" s="2">
        <f t="shared" si="10"/>
        <v>1</v>
      </c>
      <c r="O99" s="2">
        <f t="shared" si="11"/>
        <v>0</v>
      </c>
      <c r="P99" s="2" t="s">
        <v>27</v>
      </c>
      <c r="Q99" s="2" t="s">
        <v>28</v>
      </c>
    </row>
    <row r="100" spans="1:17">
      <c r="A100" s="1">
        <v>45633</v>
      </c>
      <c r="B100" s="2" t="s">
        <v>38</v>
      </c>
      <c r="C100" s="2" t="s">
        <v>15</v>
      </c>
      <c r="D100" s="2" t="s">
        <v>23</v>
      </c>
      <c r="E100" s="2" t="s">
        <v>46</v>
      </c>
      <c r="F100" s="2">
        <v>1</v>
      </c>
      <c r="G100" s="2">
        <v>310.54000000000002</v>
      </c>
      <c r="H100" s="2">
        <v>310.54000000000002</v>
      </c>
      <c r="I100" s="2">
        <v>245.04000000000002</v>
      </c>
      <c r="J100" s="2">
        <v>65.5</v>
      </c>
      <c r="K100" s="2" t="s">
        <v>32</v>
      </c>
      <c r="L100" s="2" t="s">
        <v>19</v>
      </c>
      <c r="M100" s="2">
        <f t="shared" si="9"/>
        <v>1</v>
      </c>
      <c r="N100" s="2">
        <f t="shared" si="10"/>
        <v>0</v>
      </c>
      <c r="O100" s="2">
        <f t="shared" si="11"/>
        <v>0</v>
      </c>
      <c r="P100" s="2" t="s">
        <v>34</v>
      </c>
      <c r="Q100" s="2" t="s">
        <v>35</v>
      </c>
    </row>
    <row r="101" spans="1:17">
      <c r="A101" s="1">
        <v>45444</v>
      </c>
      <c r="B101" s="2" t="s">
        <v>39</v>
      </c>
      <c r="C101" s="2" t="s">
        <v>40</v>
      </c>
      <c r="D101" s="2" t="s">
        <v>48</v>
      </c>
      <c r="E101" s="2" t="s">
        <v>24</v>
      </c>
      <c r="F101" s="2">
        <v>8</v>
      </c>
      <c r="G101" s="2">
        <v>228.57</v>
      </c>
      <c r="H101" s="2">
        <v>1828.56</v>
      </c>
      <c r="I101" s="2">
        <v>1779.56</v>
      </c>
      <c r="J101" s="2">
        <v>49</v>
      </c>
      <c r="K101" s="2" t="s">
        <v>18</v>
      </c>
      <c r="L101" s="2" t="s">
        <v>33</v>
      </c>
      <c r="M101" s="2">
        <f t="shared" si="9"/>
        <v>0</v>
      </c>
      <c r="N101" s="2">
        <f t="shared" si="10"/>
        <v>0</v>
      </c>
      <c r="O101" s="2">
        <f t="shared" si="11"/>
        <v>1</v>
      </c>
      <c r="P101" s="2" t="s">
        <v>37</v>
      </c>
      <c r="Q101" s="2" t="s">
        <v>21</v>
      </c>
    </row>
    <row r="102" spans="1:17">
      <c r="A102" s="1">
        <v>45532</v>
      </c>
      <c r="B102" s="2" t="s">
        <v>43</v>
      </c>
      <c r="C102" s="2" t="s">
        <v>44</v>
      </c>
      <c r="D102" s="2" t="s">
        <v>49</v>
      </c>
      <c r="E102" s="2" t="s">
        <v>31</v>
      </c>
      <c r="F102" s="2">
        <v>2</v>
      </c>
      <c r="G102" s="2">
        <v>495.03</v>
      </c>
      <c r="H102" s="2">
        <v>990.06</v>
      </c>
      <c r="I102" s="2">
        <v>950.06</v>
      </c>
      <c r="J102" s="2">
        <v>40</v>
      </c>
      <c r="K102" s="2" t="s">
        <v>25</v>
      </c>
      <c r="L102" s="2" t="s">
        <v>19</v>
      </c>
      <c r="M102" s="2">
        <f t="shared" si="9"/>
        <v>1</v>
      </c>
      <c r="N102" s="2">
        <f t="shared" si="10"/>
        <v>0</v>
      </c>
      <c r="O102" s="2">
        <f t="shared" si="11"/>
        <v>0</v>
      </c>
      <c r="P102" s="2" t="s">
        <v>20</v>
      </c>
      <c r="Q102" s="2" t="s">
        <v>28</v>
      </c>
    </row>
    <row r="103" spans="1:17">
      <c r="A103" s="1">
        <v>45409</v>
      </c>
      <c r="B103" s="2" t="s">
        <v>59</v>
      </c>
      <c r="C103" s="2" t="s">
        <v>30</v>
      </c>
      <c r="D103" s="2" t="s">
        <v>48</v>
      </c>
      <c r="E103" s="2" t="s">
        <v>46</v>
      </c>
      <c r="F103" s="2">
        <v>7</v>
      </c>
      <c r="G103" s="2">
        <v>75.27</v>
      </c>
      <c r="H103" s="2">
        <v>526.89</v>
      </c>
      <c r="I103" s="2">
        <v>466.89</v>
      </c>
      <c r="J103" s="2">
        <v>60</v>
      </c>
      <c r="K103" s="2" t="s">
        <v>32</v>
      </c>
      <c r="L103" s="2" t="s">
        <v>26</v>
      </c>
      <c r="M103" s="2">
        <f t="shared" si="9"/>
        <v>0</v>
      </c>
      <c r="N103" s="2">
        <f t="shared" si="10"/>
        <v>1</v>
      </c>
      <c r="O103" s="2">
        <f t="shared" si="11"/>
        <v>0</v>
      </c>
      <c r="P103" s="2" t="s">
        <v>27</v>
      </c>
      <c r="Q103" s="2" t="s">
        <v>35</v>
      </c>
    </row>
    <row r="104" spans="1:17">
      <c r="A104" s="1">
        <v>45364</v>
      </c>
      <c r="B104" s="2" t="s">
        <v>29</v>
      </c>
      <c r="C104" s="2" t="s">
        <v>30</v>
      </c>
      <c r="D104" s="2" t="s">
        <v>23</v>
      </c>
      <c r="E104" s="2" t="s">
        <v>17</v>
      </c>
      <c r="F104" s="2">
        <v>6</v>
      </c>
      <c r="G104" s="2">
        <v>156.28</v>
      </c>
      <c r="H104" s="2">
        <v>937.68</v>
      </c>
      <c r="I104" s="2">
        <v>872.18</v>
      </c>
      <c r="J104" s="2">
        <v>65.5</v>
      </c>
      <c r="K104" s="2" t="s">
        <v>18</v>
      </c>
      <c r="L104" s="2" t="s">
        <v>19</v>
      </c>
      <c r="M104" s="2">
        <f t="shared" si="9"/>
        <v>1</v>
      </c>
      <c r="N104" s="2">
        <f t="shared" si="10"/>
        <v>0</v>
      </c>
      <c r="O104" s="2">
        <f t="shared" si="11"/>
        <v>0</v>
      </c>
      <c r="P104" s="2" t="s">
        <v>34</v>
      </c>
      <c r="Q104" s="2" t="s">
        <v>21</v>
      </c>
    </row>
    <row r="105" spans="1:17">
      <c r="A105" s="1">
        <v>45536</v>
      </c>
      <c r="B105" s="2" t="s">
        <v>39</v>
      </c>
      <c r="C105" s="2" t="s">
        <v>40</v>
      </c>
      <c r="D105" s="2" t="s">
        <v>42</v>
      </c>
      <c r="E105" s="2" t="s">
        <v>46</v>
      </c>
      <c r="F105" s="2">
        <v>5</v>
      </c>
      <c r="G105" s="2">
        <v>273.58</v>
      </c>
      <c r="H105" s="2">
        <v>1367.9</v>
      </c>
      <c r="I105" s="2">
        <v>1318.9</v>
      </c>
      <c r="J105" s="2">
        <v>49</v>
      </c>
      <c r="K105" s="2" t="s">
        <v>25</v>
      </c>
      <c r="L105" s="2" t="s">
        <v>33</v>
      </c>
      <c r="M105" s="2">
        <f t="shared" si="9"/>
        <v>0</v>
      </c>
      <c r="N105" s="2">
        <f t="shared" si="10"/>
        <v>0</v>
      </c>
      <c r="O105" s="2">
        <f t="shared" si="11"/>
        <v>1</v>
      </c>
      <c r="P105" s="2" t="s">
        <v>37</v>
      </c>
      <c r="Q105" s="2" t="s">
        <v>28</v>
      </c>
    </row>
    <row r="106" spans="1:17">
      <c r="A106" s="1">
        <v>45395</v>
      </c>
      <c r="B106" s="2" t="s">
        <v>14</v>
      </c>
      <c r="C106" s="2" t="s">
        <v>15</v>
      </c>
      <c r="D106" s="2" t="s">
        <v>48</v>
      </c>
      <c r="E106" s="2" t="s">
        <v>24</v>
      </c>
      <c r="F106" s="2">
        <v>9</v>
      </c>
      <c r="G106" s="2">
        <v>393.82</v>
      </c>
      <c r="H106" s="2">
        <v>3544.38</v>
      </c>
      <c r="I106" s="2">
        <v>3504.38</v>
      </c>
      <c r="J106" s="2">
        <v>40</v>
      </c>
      <c r="K106" s="2" t="s">
        <v>32</v>
      </c>
      <c r="L106" s="2" t="s">
        <v>19</v>
      </c>
      <c r="M106" s="2">
        <f t="shared" si="9"/>
        <v>1</v>
      </c>
      <c r="N106" s="2">
        <f t="shared" si="10"/>
        <v>0</v>
      </c>
      <c r="O106" s="2">
        <f t="shared" si="11"/>
        <v>0</v>
      </c>
      <c r="P106" s="2" t="s">
        <v>20</v>
      </c>
      <c r="Q106" s="2" t="s">
        <v>35</v>
      </c>
    </row>
    <row r="107" spans="1:17">
      <c r="A107" s="1">
        <v>45489</v>
      </c>
      <c r="B107" s="2" t="s">
        <v>47</v>
      </c>
      <c r="C107" s="2" t="s">
        <v>44</v>
      </c>
      <c r="D107" s="2" t="s">
        <v>49</v>
      </c>
      <c r="E107" s="2" t="s">
        <v>31</v>
      </c>
      <c r="F107" s="2">
        <v>5</v>
      </c>
      <c r="G107" s="2">
        <v>439.15</v>
      </c>
      <c r="H107" s="2">
        <v>2195.75</v>
      </c>
      <c r="I107" s="2">
        <v>2135.75</v>
      </c>
      <c r="J107" s="2">
        <v>60</v>
      </c>
      <c r="K107" s="2" t="s">
        <v>18</v>
      </c>
      <c r="L107" s="2" t="s">
        <v>26</v>
      </c>
      <c r="M107" s="2">
        <f t="shared" si="9"/>
        <v>0</v>
      </c>
      <c r="N107" s="2">
        <f t="shared" si="10"/>
        <v>1</v>
      </c>
      <c r="O107" s="2">
        <f t="shared" si="11"/>
        <v>0</v>
      </c>
      <c r="P107" s="2" t="s">
        <v>27</v>
      </c>
      <c r="Q107" s="2" t="s">
        <v>21</v>
      </c>
    </row>
    <row r="108" spans="1:17">
      <c r="A108" s="1">
        <v>45314</v>
      </c>
      <c r="B108" s="2" t="s">
        <v>47</v>
      </c>
      <c r="C108" s="2" t="s">
        <v>44</v>
      </c>
      <c r="D108" s="2" t="s">
        <v>49</v>
      </c>
      <c r="E108" s="2" t="s">
        <v>31</v>
      </c>
      <c r="F108" s="2">
        <v>5</v>
      </c>
      <c r="G108" s="2">
        <v>417.04</v>
      </c>
      <c r="H108" s="2">
        <v>2085.1999999999998</v>
      </c>
      <c r="I108" s="2">
        <v>2019.6999999999998</v>
      </c>
      <c r="J108" s="2">
        <v>65.5</v>
      </c>
      <c r="K108" s="2" t="s">
        <v>25</v>
      </c>
      <c r="L108" s="2" t="s">
        <v>19</v>
      </c>
      <c r="M108" s="2">
        <f t="shared" si="9"/>
        <v>1</v>
      </c>
      <c r="N108" s="2">
        <f t="shared" si="10"/>
        <v>0</v>
      </c>
      <c r="O108" s="2">
        <f t="shared" si="11"/>
        <v>0</v>
      </c>
      <c r="P108" s="2" t="s">
        <v>34</v>
      </c>
      <c r="Q108" s="2" t="s">
        <v>28</v>
      </c>
    </row>
    <row r="109" spans="1:17">
      <c r="A109" s="1">
        <v>45318</v>
      </c>
      <c r="B109" s="2" t="s">
        <v>47</v>
      </c>
      <c r="C109" s="2" t="s">
        <v>44</v>
      </c>
      <c r="D109" s="2" t="s">
        <v>42</v>
      </c>
      <c r="E109" s="2" t="s">
        <v>24</v>
      </c>
      <c r="F109" s="2">
        <v>7</v>
      </c>
      <c r="G109" s="2">
        <v>178.61</v>
      </c>
      <c r="H109" s="2">
        <v>1250.27</v>
      </c>
      <c r="I109" s="2">
        <v>1201.27</v>
      </c>
      <c r="J109" s="2">
        <v>49</v>
      </c>
      <c r="K109" s="2" t="s">
        <v>32</v>
      </c>
      <c r="L109" s="2" t="s">
        <v>33</v>
      </c>
      <c r="M109" s="2">
        <f t="shared" si="9"/>
        <v>0</v>
      </c>
      <c r="N109" s="2">
        <f t="shared" si="10"/>
        <v>0</v>
      </c>
      <c r="O109" s="2">
        <f t="shared" si="11"/>
        <v>1</v>
      </c>
      <c r="P109" s="2" t="s">
        <v>37</v>
      </c>
      <c r="Q109" s="2" t="s">
        <v>35</v>
      </c>
    </row>
    <row r="110" spans="1:17">
      <c r="A110" s="1">
        <v>45466</v>
      </c>
      <c r="B110" s="2" t="s">
        <v>56</v>
      </c>
      <c r="C110" s="2" t="s">
        <v>52</v>
      </c>
      <c r="D110" s="2" t="s">
        <v>42</v>
      </c>
      <c r="E110" s="2" t="s">
        <v>17</v>
      </c>
      <c r="F110" s="2">
        <v>7</v>
      </c>
      <c r="G110" s="2">
        <v>161.06</v>
      </c>
      <c r="H110" s="2">
        <v>1127.42</v>
      </c>
      <c r="I110" s="2">
        <v>1087.42</v>
      </c>
      <c r="J110" s="2">
        <v>40</v>
      </c>
      <c r="K110" s="2" t="s">
        <v>18</v>
      </c>
      <c r="L110" s="2" t="s">
        <v>19</v>
      </c>
      <c r="M110" s="2">
        <f t="shared" si="9"/>
        <v>1</v>
      </c>
      <c r="N110" s="2">
        <f t="shared" si="10"/>
        <v>0</v>
      </c>
      <c r="O110" s="2">
        <f t="shared" si="11"/>
        <v>0</v>
      </c>
      <c r="P110" s="2" t="s">
        <v>20</v>
      </c>
      <c r="Q110" s="2" t="s">
        <v>21</v>
      </c>
    </row>
    <row r="111" spans="1:17">
      <c r="A111" s="1">
        <v>45627</v>
      </c>
      <c r="B111" s="2" t="s">
        <v>45</v>
      </c>
      <c r="C111" s="2" t="s">
        <v>44</v>
      </c>
      <c r="D111" s="2" t="s">
        <v>23</v>
      </c>
      <c r="E111" s="2" t="s">
        <v>46</v>
      </c>
      <c r="F111" s="2">
        <v>4</v>
      </c>
      <c r="G111" s="2">
        <v>23.62</v>
      </c>
      <c r="H111" s="2">
        <v>94.48</v>
      </c>
      <c r="I111" s="2">
        <v>34.480000000000004</v>
      </c>
      <c r="J111" s="2">
        <v>60</v>
      </c>
      <c r="K111" s="2" t="s">
        <v>25</v>
      </c>
      <c r="L111" s="2" t="s">
        <v>26</v>
      </c>
      <c r="M111" s="2">
        <f t="shared" si="9"/>
        <v>0</v>
      </c>
      <c r="N111" s="2">
        <f t="shared" si="10"/>
        <v>1</v>
      </c>
      <c r="O111" s="2">
        <f t="shared" si="11"/>
        <v>0</v>
      </c>
      <c r="P111" s="2" t="s">
        <v>27</v>
      </c>
      <c r="Q111" s="2" t="s">
        <v>28</v>
      </c>
    </row>
    <row r="112" spans="1:17">
      <c r="A112" s="1">
        <v>45373</v>
      </c>
      <c r="B112" s="2" t="s">
        <v>39</v>
      </c>
      <c r="C112" s="2" t="s">
        <v>40</v>
      </c>
      <c r="D112" s="2" t="s">
        <v>16</v>
      </c>
      <c r="E112" s="2" t="s">
        <v>24</v>
      </c>
      <c r="F112" s="2">
        <v>1</v>
      </c>
      <c r="G112" s="2">
        <v>340.59</v>
      </c>
      <c r="H112" s="2">
        <v>340.59</v>
      </c>
      <c r="I112" s="2">
        <v>275.08999999999997</v>
      </c>
      <c r="J112" s="2">
        <v>65.5</v>
      </c>
      <c r="K112" s="2" t="s">
        <v>32</v>
      </c>
      <c r="L112" s="2" t="s">
        <v>33</v>
      </c>
      <c r="M112" s="2">
        <f t="shared" si="9"/>
        <v>0</v>
      </c>
      <c r="N112" s="2">
        <f t="shared" si="10"/>
        <v>0</v>
      </c>
      <c r="O112" s="2">
        <f t="shared" si="11"/>
        <v>1</v>
      </c>
      <c r="P112" s="2" t="s">
        <v>34</v>
      </c>
      <c r="Q112" s="2" t="s">
        <v>35</v>
      </c>
    </row>
    <row r="113" spans="1:17">
      <c r="A113" s="1">
        <v>45389</v>
      </c>
      <c r="B113" s="2" t="s">
        <v>53</v>
      </c>
      <c r="C113" s="2" t="s">
        <v>40</v>
      </c>
      <c r="D113" s="2" t="s">
        <v>16</v>
      </c>
      <c r="E113" s="2" t="s">
        <v>17</v>
      </c>
      <c r="F113" s="2">
        <v>2</v>
      </c>
      <c r="G113" s="2">
        <v>362.31</v>
      </c>
      <c r="H113" s="2">
        <v>724.62</v>
      </c>
      <c r="I113" s="2">
        <v>675.62</v>
      </c>
      <c r="J113" s="2">
        <v>49</v>
      </c>
      <c r="K113" s="2" t="s">
        <v>18</v>
      </c>
      <c r="L113" s="2" t="s">
        <v>19</v>
      </c>
      <c r="M113" s="2">
        <f t="shared" si="9"/>
        <v>1</v>
      </c>
      <c r="N113" s="2">
        <f t="shared" si="10"/>
        <v>0</v>
      </c>
      <c r="O113" s="2">
        <f t="shared" si="11"/>
        <v>0</v>
      </c>
      <c r="P113" s="2" t="s">
        <v>37</v>
      </c>
      <c r="Q113" s="2" t="s">
        <v>21</v>
      </c>
    </row>
    <row r="114" spans="1:17">
      <c r="A114" s="1">
        <v>45380</v>
      </c>
      <c r="B114" s="2" t="s">
        <v>55</v>
      </c>
      <c r="C114" s="2" t="s">
        <v>44</v>
      </c>
      <c r="D114" s="2" t="s">
        <v>42</v>
      </c>
      <c r="E114" s="2" t="s">
        <v>31</v>
      </c>
      <c r="F114" s="2">
        <v>8</v>
      </c>
      <c r="G114" s="2">
        <v>418.71</v>
      </c>
      <c r="H114" s="2">
        <v>3349.68</v>
      </c>
      <c r="I114" s="2">
        <v>3309.68</v>
      </c>
      <c r="J114" s="2">
        <v>40</v>
      </c>
      <c r="K114" s="2" t="s">
        <v>25</v>
      </c>
      <c r="L114" s="2" t="s">
        <v>26</v>
      </c>
      <c r="M114" s="2">
        <f t="shared" si="9"/>
        <v>0</v>
      </c>
      <c r="N114" s="2">
        <f t="shared" si="10"/>
        <v>1</v>
      </c>
      <c r="O114" s="2">
        <f t="shared" si="11"/>
        <v>0</v>
      </c>
      <c r="P114" s="2" t="s">
        <v>20</v>
      </c>
      <c r="Q114" s="2" t="s">
        <v>28</v>
      </c>
    </row>
    <row r="115" spans="1:17">
      <c r="A115" s="1">
        <v>45304</v>
      </c>
      <c r="B115" s="2" t="s">
        <v>29</v>
      </c>
      <c r="C115" s="2" t="s">
        <v>30</v>
      </c>
      <c r="D115" s="2" t="s">
        <v>16</v>
      </c>
      <c r="E115" s="2" t="s">
        <v>46</v>
      </c>
      <c r="F115" s="2">
        <v>6</v>
      </c>
      <c r="G115" s="2">
        <v>111.13</v>
      </c>
      <c r="H115" s="2">
        <v>666.78</v>
      </c>
      <c r="I115" s="2">
        <v>606.78</v>
      </c>
      <c r="J115" s="2">
        <v>60</v>
      </c>
      <c r="K115" s="2" t="s">
        <v>32</v>
      </c>
      <c r="L115" s="2" t="s">
        <v>19</v>
      </c>
      <c r="M115" s="2">
        <f t="shared" si="9"/>
        <v>1</v>
      </c>
      <c r="N115" s="2">
        <f t="shared" si="10"/>
        <v>0</v>
      </c>
      <c r="O115" s="2">
        <f t="shared" si="11"/>
        <v>0</v>
      </c>
      <c r="P115" s="2" t="s">
        <v>27</v>
      </c>
      <c r="Q115" s="2" t="s">
        <v>35</v>
      </c>
    </row>
    <row r="116" spans="1:17">
      <c r="A116" s="1">
        <v>45636</v>
      </c>
      <c r="B116" s="2" t="s">
        <v>55</v>
      </c>
      <c r="C116" s="2" t="s">
        <v>44</v>
      </c>
      <c r="D116" s="2" t="s">
        <v>42</v>
      </c>
      <c r="E116" s="2" t="s">
        <v>31</v>
      </c>
      <c r="F116" s="2">
        <v>9</v>
      </c>
      <c r="G116" s="2">
        <v>484.72</v>
      </c>
      <c r="H116" s="2">
        <v>4362.4799999999996</v>
      </c>
      <c r="I116" s="2">
        <v>4296.9799999999996</v>
      </c>
      <c r="J116" s="2">
        <v>65.5</v>
      </c>
      <c r="K116" s="2" t="s">
        <v>18</v>
      </c>
      <c r="L116" s="2" t="s">
        <v>19</v>
      </c>
      <c r="M116" s="2">
        <f t="shared" si="9"/>
        <v>1</v>
      </c>
      <c r="N116" s="2">
        <f t="shared" si="10"/>
        <v>0</v>
      </c>
      <c r="O116" s="2">
        <f t="shared" si="11"/>
        <v>0</v>
      </c>
      <c r="P116" s="2" t="s">
        <v>34</v>
      </c>
      <c r="Q116" s="2" t="s">
        <v>21</v>
      </c>
    </row>
    <row r="117" spans="1:17">
      <c r="A117" s="1">
        <v>45605</v>
      </c>
      <c r="B117" s="2" t="s">
        <v>41</v>
      </c>
      <c r="C117" s="2" t="s">
        <v>30</v>
      </c>
      <c r="D117" s="2" t="s">
        <v>42</v>
      </c>
      <c r="E117" s="2" t="s">
        <v>24</v>
      </c>
      <c r="F117" s="2">
        <v>1</v>
      </c>
      <c r="G117" s="2">
        <v>67.53</v>
      </c>
      <c r="H117" s="2">
        <v>67.53</v>
      </c>
      <c r="I117" s="2">
        <v>18.53</v>
      </c>
      <c r="J117" s="2">
        <v>49</v>
      </c>
      <c r="K117" s="2" t="s">
        <v>25</v>
      </c>
      <c r="L117" s="2" t="s">
        <v>26</v>
      </c>
      <c r="M117" s="2">
        <f t="shared" si="9"/>
        <v>0</v>
      </c>
      <c r="N117" s="2">
        <f t="shared" si="10"/>
        <v>1</v>
      </c>
      <c r="O117" s="2">
        <f t="shared" si="11"/>
        <v>0</v>
      </c>
      <c r="P117" s="2" t="s">
        <v>37</v>
      </c>
      <c r="Q117" s="2" t="s">
        <v>28</v>
      </c>
    </row>
    <row r="118" spans="1:17">
      <c r="A118" s="1">
        <v>45380</v>
      </c>
      <c r="B118" s="2" t="s">
        <v>54</v>
      </c>
      <c r="C118" s="2" t="s">
        <v>40</v>
      </c>
      <c r="D118" s="2" t="s">
        <v>42</v>
      </c>
      <c r="E118" s="2" t="s">
        <v>24</v>
      </c>
      <c r="F118" s="2">
        <v>2</v>
      </c>
      <c r="G118" s="2">
        <v>368.03</v>
      </c>
      <c r="H118" s="2">
        <v>736.06</v>
      </c>
      <c r="I118" s="2">
        <v>696.06</v>
      </c>
      <c r="J118" s="2">
        <v>40</v>
      </c>
      <c r="K118" s="2" t="s">
        <v>32</v>
      </c>
      <c r="L118" s="2" t="s">
        <v>19</v>
      </c>
      <c r="M118" s="2">
        <f t="shared" si="9"/>
        <v>1</v>
      </c>
      <c r="N118" s="2">
        <f t="shared" si="10"/>
        <v>0</v>
      </c>
      <c r="O118" s="2">
        <f t="shared" si="11"/>
        <v>0</v>
      </c>
      <c r="P118" s="2" t="s">
        <v>20</v>
      </c>
      <c r="Q118" s="2" t="s">
        <v>35</v>
      </c>
    </row>
    <row r="119" spans="1:17">
      <c r="A119" s="1">
        <v>45372</v>
      </c>
      <c r="B119" s="2" t="s">
        <v>38</v>
      </c>
      <c r="C119" s="2" t="s">
        <v>15</v>
      </c>
      <c r="D119" s="2" t="s">
        <v>49</v>
      </c>
      <c r="E119" s="2" t="s">
        <v>24</v>
      </c>
      <c r="F119" s="2">
        <v>1</v>
      </c>
      <c r="G119" s="2">
        <v>372.87</v>
      </c>
      <c r="H119" s="2">
        <v>372.87</v>
      </c>
      <c r="I119" s="2">
        <v>312.87</v>
      </c>
      <c r="J119" s="2">
        <v>60</v>
      </c>
      <c r="K119" s="2" t="s">
        <v>18</v>
      </c>
      <c r="L119" s="2" t="s">
        <v>33</v>
      </c>
      <c r="M119" s="2">
        <f t="shared" si="9"/>
        <v>0</v>
      </c>
      <c r="N119" s="2">
        <f t="shared" si="10"/>
        <v>0</v>
      </c>
      <c r="O119" s="2">
        <f t="shared" si="11"/>
        <v>1</v>
      </c>
      <c r="P119" s="2" t="s">
        <v>27</v>
      </c>
      <c r="Q119" s="2" t="s">
        <v>21</v>
      </c>
    </row>
    <row r="120" spans="1:17">
      <c r="A120" s="1">
        <v>45329</v>
      </c>
      <c r="B120" s="2" t="s">
        <v>14</v>
      </c>
      <c r="C120" s="2" t="s">
        <v>15</v>
      </c>
      <c r="D120" s="2" t="s">
        <v>42</v>
      </c>
      <c r="E120" s="2" t="s">
        <v>46</v>
      </c>
      <c r="F120" s="2">
        <v>10</v>
      </c>
      <c r="G120" s="2">
        <v>51.96</v>
      </c>
      <c r="H120" s="2">
        <v>519.6</v>
      </c>
      <c r="I120" s="2">
        <v>454.1</v>
      </c>
      <c r="J120" s="2">
        <v>65.5</v>
      </c>
      <c r="K120" s="2" t="s">
        <v>25</v>
      </c>
      <c r="L120" s="2" t="s">
        <v>26</v>
      </c>
      <c r="M120" s="2">
        <f t="shared" si="9"/>
        <v>0</v>
      </c>
      <c r="N120" s="2">
        <f t="shared" si="10"/>
        <v>1</v>
      </c>
      <c r="O120" s="2">
        <f t="shared" si="11"/>
        <v>0</v>
      </c>
      <c r="P120" s="2" t="s">
        <v>34</v>
      </c>
      <c r="Q120" s="2" t="s">
        <v>28</v>
      </c>
    </row>
    <row r="121" spans="1:17">
      <c r="A121" s="1">
        <v>45449</v>
      </c>
      <c r="B121" s="2" t="s">
        <v>56</v>
      </c>
      <c r="C121" s="2" t="s">
        <v>52</v>
      </c>
      <c r="D121" s="2" t="s">
        <v>48</v>
      </c>
      <c r="E121" s="2" t="s">
        <v>24</v>
      </c>
      <c r="F121" s="2">
        <v>8</v>
      </c>
      <c r="G121" s="2">
        <v>434.36</v>
      </c>
      <c r="H121" s="2">
        <v>3474.88</v>
      </c>
      <c r="I121" s="2">
        <v>3425.88</v>
      </c>
      <c r="J121" s="2">
        <v>49</v>
      </c>
      <c r="K121" s="2" t="s">
        <v>32</v>
      </c>
      <c r="L121" s="2" t="s">
        <v>19</v>
      </c>
      <c r="M121" s="2">
        <f t="shared" si="9"/>
        <v>1</v>
      </c>
      <c r="N121" s="2">
        <f t="shared" si="10"/>
        <v>0</v>
      </c>
      <c r="O121" s="2">
        <f t="shared" si="11"/>
        <v>0</v>
      </c>
      <c r="P121" s="2" t="s">
        <v>37</v>
      </c>
      <c r="Q121" s="2" t="s">
        <v>35</v>
      </c>
    </row>
    <row r="122" spans="1:17">
      <c r="A122" s="1">
        <v>45423</v>
      </c>
      <c r="B122" s="2" t="s">
        <v>57</v>
      </c>
      <c r="C122" s="2" t="s">
        <v>30</v>
      </c>
      <c r="D122" s="2" t="s">
        <v>23</v>
      </c>
      <c r="E122" s="2" t="s">
        <v>31</v>
      </c>
      <c r="F122" s="2">
        <v>3</v>
      </c>
      <c r="G122" s="2">
        <v>400.96</v>
      </c>
      <c r="H122" s="2">
        <v>1202.8800000000001</v>
      </c>
      <c r="I122" s="2">
        <v>1162.8800000000001</v>
      </c>
      <c r="J122" s="2">
        <v>40</v>
      </c>
      <c r="K122" s="2" t="s">
        <v>18</v>
      </c>
      <c r="L122" s="2" t="s">
        <v>26</v>
      </c>
      <c r="M122" s="2">
        <f t="shared" si="9"/>
        <v>0</v>
      </c>
      <c r="N122" s="2">
        <f t="shared" si="10"/>
        <v>1</v>
      </c>
      <c r="O122" s="2">
        <f t="shared" si="11"/>
        <v>0</v>
      </c>
      <c r="P122" s="2" t="s">
        <v>20</v>
      </c>
      <c r="Q122" s="2" t="s">
        <v>21</v>
      </c>
    </row>
    <row r="123" spans="1:17">
      <c r="A123" s="1">
        <v>45389</v>
      </c>
      <c r="B123" s="2" t="s">
        <v>56</v>
      </c>
      <c r="C123" s="2" t="s">
        <v>52</v>
      </c>
      <c r="D123" s="2" t="s">
        <v>49</v>
      </c>
      <c r="E123" s="2" t="s">
        <v>24</v>
      </c>
      <c r="F123" s="2">
        <v>1</v>
      </c>
      <c r="G123" s="2">
        <v>55.02</v>
      </c>
      <c r="H123" s="2">
        <v>55.02</v>
      </c>
      <c r="I123" s="2">
        <v>-4.9799999999999969</v>
      </c>
      <c r="J123" s="2">
        <v>60</v>
      </c>
      <c r="K123" s="2" t="s">
        <v>25</v>
      </c>
      <c r="L123" s="2" t="s">
        <v>19</v>
      </c>
      <c r="M123" s="2">
        <f t="shared" si="9"/>
        <v>1</v>
      </c>
      <c r="N123" s="2">
        <f t="shared" si="10"/>
        <v>0</v>
      </c>
      <c r="O123" s="2">
        <f t="shared" si="11"/>
        <v>0</v>
      </c>
      <c r="P123" s="2" t="s">
        <v>27</v>
      </c>
      <c r="Q123" s="2" t="s">
        <v>28</v>
      </c>
    </row>
    <row r="124" spans="1:17">
      <c r="A124" s="1">
        <v>45595</v>
      </c>
      <c r="B124" s="2" t="s">
        <v>53</v>
      </c>
      <c r="C124" s="2" t="s">
        <v>40</v>
      </c>
      <c r="D124" s="2" t="s">
        <v>16</v>
      </c>
      <c r="E124" s="2" t="s">
        <v>31</v>
      </c>
      <c r="F124" s="2">
        <v>5</v>
      </c>
      <c r="G124" s="2">
        <v>187.23</v>
      </c>
      <c r="H124" s="2">
        <v>936.15</v>
      </c>
      <c r="I124" s="2">
        <v>870.65</v>
      </c>
      <c r="J124" s="2">
        <v>65.5</v>
      </c>
      <c r="K124" s="2" t="s">
        <v>32</v>
      </c>
      <c r="L124" s="2" t="s">
        <v>19</v>
      </c>
      <c r="M124" s="2">
        <f t="shared" si="9"/>
        <v>1</v>
      </c>
      <c r="N124" s="2">
        <f t="shared" si="10"/>
        <v>0</v>
      </c>
      <c r="O124" s="2">
        <f t="shared" si="11"/>
        <v>0</v>
      </c>
      <c r="P124" s="2" t="s">
        <v>34</v>
      </c>
      <c r="Q124" s="2" t="s">
        <v>35</v>
      </c>
    </row>
    <row r="125" spans="1:17">
      <c r="A125" s="1">
        <v>45346</v>
      </c>
      <c r="B125" s="2" t="s">
        <v>54</v>
      </c>
      <c r="C125" s="2" t="s">
        <v>40</v>
      </c>
      <c r="D125" s="2" t="s">
        <v>48</v>
      </c>
      <c r="E125" s="2" t="s">
        <v>24</v>
      </c>
      <c r="F125" s="2">
        <v>9</v>
      </c>
      <c r="G125" s="2">
        <v>202.72</v>
      </c>
      <c r="H125" s="2">
        <v>1824.48</v>
      </c>
      <c r="I125" s="2">
        <v>1775.48</v>
      </c>
      <c r="J125" s="2">
        <v>49</v>
      </c>
      <c r="K125" s="2" t="s">
        <v>18</v>
      </c>
      <c r="L125" s="2" t="s">
        <v>26</v>
      </c>
      <c r="M125" s="2">
        <f t="shared" si="9"/>
        <v>0</v>
      </c>
      <c r="N125" s="2">
        <f t="shared" si="10"/>
        <v>1</v>
      </c>
      <c r="O125" s="2">
        <f t="shared" si="11"/>
        <v>0</v>
      </c>
      <c r="P125" s="2" t="s">
        <v>37</v>
      </c>
      <c r="Q125" s="2" t="s">
        <v>21</v>
      </c>
    </row>
    <row r="126" spans="1:17">
      <c r="A126" s="1">
        <v>45600</v>
      </c>
      <c r="B126" s="2" t="s">
        <v>54</v>
      </c>
      <c r="C126" s="2" t="s">
        <v>40</v>
      </c>
      <c r="D126" s="2" t="s">
        <v>16</v>
      </c>
      <c r="E126" s="2" t="s">
        <v>31</v>
      </c>
      <c r="F126" s="2">
        <v>3</v>
      </c>
      <c r="G126" s="2">
        <v>276.01</v>
      </c>
      <c r="H126" s="2">
        <v>828.03</v>
      </c>
      <c r="I126" s="2">
        <v>788.03</v>
      </c>
      <c r="J126" s="2">
        <v>40</v>
      </c>
      <c r="K126" s="2" t="s">
        <v>25</v>
      </c>
      <c r="L126" s="2" t="s">
        <v>33</v>
      </c>
      <c r="M126" s="2">
        <f t="shared" si="9"/>
        <v>0</v>
      </c>
      <c r="N126" s="2">
        <f t="shared" si="10"/>
        <v>0</v>
      </c>
      <c r="O126" s="2">
        <f t="shared" si="11"/>
        <v>1</v>
      </c>
      <c r="P126" s="2" t="s">
        <v>20</v>
      </c>
      <c r="Q126" s="2" t="s">
        <v>28</v>
      </c>
    </row>
    <row r="127" spans="1:17">
      <c r="A127" s="1">
        <v>45305</v>
      </c>
      <c r="B127" s="2" t="s">
        <v>45</v>
      </c>
      <c r="C127" s="2" t="s">
        <v>44</v>
      </c>
      <c r="D127" s="2" t="s">
        <v>49</v>
      </c>
      <c r="E127" s="2" t="s">
        <v>24</v>
      </c>
      <c r="F127" s="2">
        <v>10</v>
      </c>
      <c r="G127" s="2">
        <v>281.43</v>
      </c>
      <c r="H127" s="2">
        <v>2814.3</v>
      </c>
      <c r="I127" s="2">
        <v>2754.3</v>
      </c>
      <c r="J127" s="2">
        <v>60</v>
      </c>
      <c r="K127" s="2" t="s">
        <v>32</v>
      </c>
      <c r="L127" s="2" t="s">
        <v>19</v>
      </c>
      <c r="M127" s="2">
        <f t="shared" si="9"/>
        <v>1</v>
      </c>
      <c r="N127" s="2">
        <f t="shared" si="10"/>
        <v>0</v>
      </c>
      <c r="O127" s="2">
        <f t="shared" si="11"/>
        <v>0</v>
      </c>
      <c r="P127" s="2" t="s">
        <v>27</v>
      </c>
      <c r="Q127" s="2" t="s">
        <v>35</v>
      </c>
    </row>
    <row r="128" spans="1:17">
      <c r="A128" s="1">
        <v>45514</v>
      </c>
      <c r="B128" s="2" t="s">
        <v>56</v>
      </c>
      <c r="C128" s="2" t="s">
        <v>52</v>
      </c>
      <c r="D128" s="2" t="s">
        <v>48</v>
      </c>
      <c r="E128" s="2" t="s">
        <v>31</v>
      </c>
      <c r="F128" s="2">
        <v>7</v>
      </c>
      <c r="G128" s="2">
        <v>483.02</v>
      </c>
      <c r="H128" s="2">
        <v>3381.14</v>
      </c>
      <c r="I128" s="2">
        <v>3315.64</v>
      </c>
      <c r="J128" s="2">
        <v>65.5</v>
      </c>
      <c r="K128" s="2" t="s">
        <v>18</v>
      </c>
      <c r="L128" s="2" t="s">
        <v>26</v>
      </c>
      <c r="M128" s="2">
        <f t="shared" si="9"/>
        <v>0</v>
      </c>
      <c r="N128" s="2">
        <f t="shared" si="10"/>
        <v>1</v>
      </c>
      <c r="O128" s="2">
        <f t="shared" si="11"/>
        <v>0</v>
      </c>
      <c r="P128" s="2" t="s">
        <v>34</v>
      </c>
      <c r="Q128" s="2" t="s">
        <v>21</v>
      </c>
    </row>
    <row r="129" spans="1:17">
      <c r="A129" s="1">
        <v>45367</v>
      </c>
      <c r="B129" s="2" t="s">
        <v>55</v>
      </c>
      <c r="C129" s="2" t="s">
        <v>44</v>
      </c>
      <c r="D129" s="2" t="s">
        <v>48</v>
      </c>
      <c r="E129" s="2" t="s">
        <v>17</v>
      </c>
      <c r="F129" s="2">
        <v>10</v>
      </c>
      <c r="G129" s="2">
        <v>84.68</v>
      </c>
      <c r="H129" s="2">
        <v>846.8</v>
      </c>
      <c r="I129" s="2">
        <v>797.8</v>
      </c>
      <c r="J129" s="2">
        <v>49</v>
      </c>
      <c r="K129" s="2" t="s">
        <v>25</v>
      </c>
      <c r="L129" s="2" t="s">
        <v>19</v>
      </c>
      <c r="M129" s="2">
        <f t="shared" si="9"/>
        <v>1</v>
      </c>
      <c r="N129" s="2">
        <f t="shared" si="10"/>
        <v>0</v>
      </c>
      <c r="O129" s="2">
        <f t="shared" si="11"/>
        <v>0</v>
      </c>
      <c r="P129" s="2" t="s">
        <v>37</v>
      </c>
      <c r="Q129" s="2" t="s">
        <v>28</v>
      </c>
    </row>
    <row r="130" spans="1:17">
      <c r="A130" s="1">
        <v>45462</v>
      </c>
      <c r="B130" s="2" t="s">
        <v>39</v>
      </c>
      <c r="C130" s="2" t="s">
        <v>40</v>
      </c>
      <c r="D130" s="2" t="s">
        <v>16</v>
      </c>
      <c r="E130" s="2" t="s">
        <v>46</v>
      </c>
      <c r="F130" s="2">
        <v>3</v>
      </c>
      <c r="G130" s="2">
        <v>306.7</v>
      </c>
      <c r="H130" s="2">
        <v>920.1</v>
      </c>
      <c r="I130" s="2">
        <v>880.1</v>
      </c>
      <c r="J130" s="2">
        <v>40</v>
      </c>
      <c r="K130" s="2" t="s">
        <v>32</v>
      </c>
      <c r="L130" s="2" t="s">
        <v>19</v>
      </c>
      <c r="M130" s="2">
        <f t="shared" ref="M130:M151" si="12">IF(L130="Completed",1,0)</f>
        <v>1</v>
      </c>
      <c r="N130" s="2">
        <f t="shared" ref="N130:N151" si="13">IF(L130="Pending",1,0)</f>
        <v>0</v>
      </c>
      <c r="O130" s="2">
        <f t="shared" ref="O130:O151" si="14">IF(L130="Cancelled",1,0)</f>
        <v>0</v>
      </c>
      <c r="P130" s="2" t="s">
        <v>20</v>
      </c>
      <c r="Q130" s="2" t="s">
        <v>35</v>
      </c>
    </row>
    <row r="131" spans="1:17">
      <c r="A131" s="1">
        <v>45452</v>
      </c>
      <c r="B131" s="2" t="s">
        <v>39</v>
      </c>
      <c r="C131" s="2" t="s">
        <v>40</v>
      </c>
      <c r="D131" s="2" t="s">
        <v>48</v>
      </c>
      <c r="E131" s="2" t="s">
        <v>31</v>
      </c>
      <c r="F131" s="2">
        <v>2</v>
      </c>
      <c r="G131" s="2">
        <v>68.94</v>
      </c>
      <c r="H131" s="2">
        <v>137.88</v>
      </c>
      <c r="I131" s="2">
        <v>77.88</v>
      </c>
      <c r="J131" s="2">
        <v>60</v>
      </c>
      <c r="K131" s="2" t="s">
        <v>18</v>
      </c>
      <c r="L131" s="2" t="s">
        <v>33</v>
      </c>
      <c r="M131" s="2">
        <f t="shared" si="12"/>
        <v>0</v>
      </c>
      <c r="N131" s="2">
        <f t="shared" si="13"/>
        <v>0</v>
      </c>
      <c r="O131" s="2">
        <f t="shared" si="14"/>
        <v>1</v>
      </c>
      <c r="P131" s="2" t="s">
        <v>27</v>
      </c>
      <c r="Q131" s="2" t="s">
        <v>21</v>
      </c>
    </row>
    <row r="132" spans="1:17">
      <c r="A132" s="1">
        <v>45431</v>
      </c>
      <c r="B132" s="2" t="s">
        <v>50</v>
      </c>
      <c r="C132" s="2" t="s">
        <v>40</v>
      </c>
      <c r="D132" s="2" t="s">
        <v>16</v>
      </c>
      <c r="E132" s="2" t="s">
        <v>46</v>
      </c>
      <c r="F132" s="2">
        <v>7</v>
      </c>
      <c r="G132" s="2">
        <v>483.1</v>
      </c>
      <c r="H132" s="2">
        <v>3381.7</v>
      </c>
      <c r="I132" s="2">
        <v>3316.2</v>
      </c>
      <c r="J132" s="2">
        <v>65.5</v>
      </c>
      <c r="K132" s="2" t="s">
        <v>25</v>
      </c>
      <c r="L132" s="2" t="s">
        <v>19</v>
      </c>
      <c r="M132" s="2">
        <f t="shared" si="12"/>
        <v>1</v>
      </c>
      <c r="N132" s="2">
        <f t="shared" si="13"/>
        <v>0</v>
      </c>
      <c r="O132" s="2">
        <f t="shared" si="14"/>
        <v>0</v>
      </c>
      <c r="P132" s="2" t="s">
        <v>34</v>
      </c>
      <c r="Q132" s="2" t="s">
        <v>28</v>
      </c>
    </row>
    <row r="133" spans="1:17">
      <c r="A133" s="1">
        <v>45412</v>
      </c>
      <c r="B133" s="2" t="s">
        <v>56</v>
      </c>
      <c r="C133" s="2" t="s">
        <v>52</v>
      </c>
      <c r="D133" s="2" t="s">
        <v>48</v>
      </c>
      <c r="E133" s="2" t="s">
        <v>24</v>
      </c>
      <c r="F133" s="2">
        <v>2</v>
      </c>
      <c r="G133" s="2">
        <v>439.62</v>
      </c>
      <c r="H133" s="2">
        <v>879.24</v>
      </c>
      <c r="I133" s="2">
        <v>830.24</v>
      </c>
      <c r="J133" s="2">
        <v>49</v>
      </c>
      <c r="K133" s="2" t="s">
        <v>32</v>
      </c>
      <c r="L133" s="2" t="s">
        <v>26</v>
      </c>
      <c r="M133" s="2">
        <f t="shared" si="12"/>
        <v>0</v>
      </c>
      <c r="N133" s="2">
        <f t="shared" si="13"/>
        <v>1</v>
      </c>
      <c r="O133" s="2">
        <f t="shared" si="14"/>
        <v>0</v>
      </c>
      <c r="P133" s="2" t="s">
        <v>37</v>
      </c>
      <c r="Q133" s="2" t="s">
        <v>35</v>
      </c>
    </row>
    <row r="134" spans="1:17">
      <c r="A134" s="1">
        <v>45399</v>
      </c>
      <c r="B134" s="2" t="s">
        <v>55</v>
      </c>
      <c r="C134" s="2" t="s">
        <v>44</v>
      </c>
      <c r="D134" s="2" t="s">
        <v>49</v>
      </c>
      <c r="E134" s="2" t="s">
        <v>46</v>
      </c>
      <c r="F134" s="2">
        <v>9</v>
      </c>
      <c r="G134" s="2">
        <v>153.18</v>
      </c>
      <c r="H134" s="2">
        <v>1378.62</v>
      </c>
      <c r="I134" s="2">
        <v>1338.62</v>
      </c>
      <c r="J134" s="2">
        <v>40</v>
      </c>
      <c r="K134" s="2" t="s">
        <v>18</v>
      </c>
      <c r="L134" s="2" t="s">
        <v>19</v>
      </c>
      <c r="M134" s="2">
        <f t="shared" si="12"/>
        <v>1</v>
      </c>
      <c r="N134" s="2">
        <f t="shared" si="13"/>
        <v>0</v>
      </c>
      <c r="O134" s="2">
        <f t="shared" si="14"/>
        <v>0</v>
      </c>
      <c r="P134" s="2" t="s">
        <v>20</v>
      </c>
      <c r="Q134" s="2" t="s">
        <v>21</v>
      </c>
    </row>
    <row r="135" spans="1:17">
      <c r="A135" s="1">
        <v>45462</v>
      </c>
      <c r="B135" s="2" t="s">
        <v>45</v>
      </c>
      <c r="C135" s="2" t="s">
        <v>44</v>
      </c>
      <c r="D135" s="2" t="s">
        <v>48</v>
      </c>
      <c r="E135" s="2" t="s">
        <v>17</v>
      </c>
      <c r="F135" s="2">
        <v>5</v>
      </c>
      <c r="G135" s="2">
        <v>51.53</v>
      </c>
      <c r="H135" s="2">
        <v>257.64999999999998</v>
      </c>
      <c r="I135" s="2">
        <v>197.64999999999998</v>
      </c>
      <c r="J135" s="2">
        <v>60</v>
      </c>
      <c r="K135" s="2" t="s">
        <v>25</v>
      </c>
      <c r="L135" s="2" t="s">
        <v>19</v>
      </c>
      <c r="M135" s="2">
        <f t="shared" si="12"/>
        <v>1</v>
      </c>
      <c r="N135" s="2">
        <f t="shared" si="13"/>
        <v>0</v>
      </c>
      <c r="O135" s="2">
        <f t="shared" si="14"/>
        <v>0</v>
      </c>
      <c r="P135" s="2" t="s">
        <v>27</v>
      </c>
      <c r="Q135" s="2" t="s">
        <v>28</v>
      </c>
    </row>
    <row r="136" spans="1:17">
      <c r="A136" s="1">
        <v>45483</v>
      </c>
      <c r="B136" s="2" t="s">
        <v>41</v>
      </c>
      <c r="C136" s="2" t="s">
        <v>30</v>
      </c>
      <c r="D136" s="2" t="s">
        <v>42</v>
      </c>
      <c r="E136" s="2" t="s">
        <v>46</v>
      </c>
      <c r="F136" s="2">
        <v>4</v>
      </c>
      <c r="G136" s="2">
        <v>231.62</v>
      </c>
      <c r="H136" s="2">
        <v>926.48</v>
      </c>
      <c r="I136" s="2">
        <v>860.98</v>
      </c>
      <c r="J136" s="2">
        <v>65.5</v>
      </c>
      <c r="K136" s="2" t="s">
        <v>32</v>
      </c>
      <c r="L136" s="2" t="s">
        <v>26</v>
      </c>
      <c r="M136" s="2">
        <f t="shared" si="12"/>
        <v>0</v>
      </c>
      <c r="N136" s="2">
        <f t="shared" si="13"/>
        <v>1</v>
      </c>
      <c r="O136" s="2">
        <f t="shared" si="14"/>
        <v>0</v>
      </c>
      <c r="P136" s="2" t="s">
        <v>34</v>
      </c>
      <c r="Q136" s="2" t="s">
        <v>35</v>
      </c>
    </row>
    <row r="137" spans="1:17">
      <c r="A137" s="1">
        <v>45395</v>
      </c>
      <c r="B137" s="2" t="s">
        <v>47</v>
      </c>
      <c r="C137" s="2" t="s">
        <v>44</v>
      </c>
      <c r="D137" s="2" t="s">
        <v>48</v>
      </c>
      <c r="E137" s="2" t="s">
        <v>31</v>
      </c>
      <c r="F137" s="2">
        <v>5</v>
      </c>
      <c r="G137" s="2">
        <v>303.83999999999997</v>
      </c>
      <c r="H137" s="2">
        <v>1519.2</v>
      </c>
      <c r="I137" s="2">
        <v>1470.2</v>
      </c>
      <c r="J137" s="2">
        <v>49</v>
      </c>
      <c r="K137" s="2" t="s">
        <v>18</v>
      </c>
      <c r="L137" s="2" t="s">
        <v>33</v>
      </c>
      <c r="M137" s="2">
        <f t="shared" si="12"/>
        <v>0</v>
      </c>
      <c r="N137" s="2">
        <f t="shared" si="13"/>
        <v>0</v>
      </c>
      <c r="O137" s="2">
        <f t="shared" si="14"/>
        <v>1</v>
      </c>
      <c r="P137" s="2" t="s">
        <v>37</v>
      </c>
      <c r="Q137" s="2" t="s">
        <v>21</v>
      </c>
    </row>
    <row r="138" spans="1:17">
      <c r="A138" s="1">
        <v>45313</v>
      </c>
      <c r="B138" s="2" t="s">
        <v>47</v>
      </c>
      <c r="C138" s="2" t="s">
        <v>44</v>
      </c>
      <c r="D138" s="2" t="s">
        <v>49</v>
      </c>
      <c r="E138" s="2" t="s">
        <v>46</v>
      </c>
      <c r="F138" s="2">
        <v>9</v>
      </c>
      <c r="G138" s="2">
        <v>374.31</v>
      </c>
      <c r="H138" s="2">
        <v>3368.79</v>
      </c>
      <c r="I138" s="2">
        <v>3328.79</v>
      </c>
      <c r="J138" s="2">
        <v>40</v>
      </c>
      <c r="K138" s="2" t="s">
        <v>25</v>
      </c>
      <c r="L138" s="2" t="s">
        <v>19</v>
      </c>
      <c r="M138" s="2">
        <f t="shared" si="12"/>
        <v>1</v>
      </c>
      <c r="N138" s="2">
        <f t="shared" si="13"/>
        <v>0</v>
      </c>
      <c r="O138" s="2">
        <f t="shared" si="14"/>
        <v>0</v>
      </c>
      <c r="P138" s="2" t="s">
        <v>20</v>
      </c>
      <c r="Q138" s="2" t="s">
        <v>28</v>
      </c>
    </row>
    <row r="139" spans="1:17">
      <c r="A139" s="1">
        <v>45579</v>
      </c>
      <c r="B139" s="2" t="s">
        <v>39</v>
      </c>
      <c r="C139" s="2" t="s">
        <v>40</v>
      </c>
      <c r="D139" s="2" t="s">
        <v>49</v>
      </c>
      <c r="E139" s="2" t="s">
        <v>24</v>
      </c>
      <c r="F139" s="2">
        <v>5</v>
      </c>
      <c r="G139" s="2">
        <v>158.87</v>
      </c>
      <c r="H139" s="2">
        <v>794.35</v>
      </c>
      <c r="I139" s="2">
        <v>734.35</v>
      </c>
      <c r="J139" s="2">
        <v>60</v>
      </c>
      <c r="K139" s="2" t="s">
        <v>32</v>
      </c>
      <c r="L139" s="2" t="s">
        <v>19</v>
      </c>
      <c r="M139" s="2">
        <f t="shared" si="12"/>
        <v>1</v>
      </c>
      <c r="N139" s="2">
        <f t="shared" si="13"/>
        <v>0</v>
      </c>
      <c r="O139" s="2">
        <f t="shared" si="14"/>
        <v>0</v>
      </c>
      <c r="P139" s="2" t="s">
        <v>27</v>
      </c>
      <c r="Q139" s="2" t="s">
        <v>35</v>
      </c>
    </row>
    <row r="140" spans="1:17">
      <c r="A140" s="1">
        <v>45544</v>
      </c>
      <c r="B140" s="2" t="s">
        <v>59</v>
      </c>
      <c r="C140" s="2" t="s">
        <v>30</v>
      </c>
      <c r="D140" s="2" t="s">
        <v>49</v>
      </c>
      <c r="E140" s="2" t="s">
        <v>46</v>
      </c>
      <c r="F140" s="2">
        <v>3</v>
      </c>
      <c r="G140" s="2">
        <v>174.34</v>
      </c>
      <c r="H140" s="2">
        <v>523.02</v>
      </c>
      <c r="I140" s="2">
        <v>457.52</v>
      </c>
      <c r="J140" s="2">
        <v>65.5</v>
      </c>
      <c r="K140" s="2" t="s">
        <v>18</v>
      </c>
      <c r="L140" s="2" t="s">
        <v>19</v>
      </c>
      <c r="M140" s="2">
        <f t="shared" si="12"/>
        <v>1</v>
      </c>
      <c r="N140" s="2">
        <f t="shared" si="13"/>
        <v>0</v>
      </c>
      <c r="O140" s="2">
        <f t="shared" si="14"/>
        <v>0</v>
      </c>
      <c r="P140" s="2" t="s">
        <v>34</v>
      </c>
      <c r="Q140" s="2" t="s">
        <v>21</v>
      </c>
    </row>
    <row r="141" spans="1:17">
      <c r="A141" s="1">
        <v>45438</v>
      </c>
      <c r="B141" s="2" t="s">
        <v>57</v>
      </c>
      <c r="C141" s="2" t="s">
        <v>30</v>
      </c>
      <c r="D141" s="2" t="s">
        <v>23</v>
      </c>
      <c r="E141" s="2" t="s">
        <v>46</v>
      </c>
      <c r="F141" s="2">
        <v>6</v>
      </c>
      <c r="G141" s="2">
        <v>237.96</v>
      </c>
      <c r="H141" s="2">
        <v>1427.76</v>
      </c>
      <c r="I141" s="2">
        <v>1378.76</v>
      </c>
      <c r="J141" s="2">
        <v>49</v>
      </c>
      <c r="K141" s="2" t="s">
        <v>25</v>
      </c>
      <c r="L141" s="2" t="s">
        <v>26</v>
      </c>
      <c r="M141" s="2">
        <f t="shared" si="12"/>
        <v>0</v>
      </c>
      <c r="N141" s="2">
        <f t="shared" si="13"/>
        <v>1</v>
      </c>
      <c r="O141" s="2">
        <f t="shared" si="14"/>
        <v>0</v>
      </c>
      <c r="P141" s="2" t="s">
        <v>37</v>
      </c>
      <c r="Q141" s="2" t="s">
        <v>28</v>
      </c>
    </row>
    <row r="142" spans="1:17">
      <c r="A142" s="1">
        <v>45578</v>
      </c>
      <c r="B142" s="2" t="s">
        <v>41</v>
      </c>
      <c r="C142" s="2" t="s">
        <v>30</v>
      </c>
      <c r="D142" s="2" t="s">
        <v>16</v>
      </c>
      <c r="E142" s="2" t="s">
        <v>17</v>
      </c>
      <c r="F142" s="2">
        <v>1</v>
      </c>
      <c r="G142" s="2">
        <v>347.92</v>
      </c>
      <c r="H142" s="2">
        <v>347.92</v>
      </c>
      <c r="I142" s="2">
        <v>307.92</v>
      </c>
      <c r="J142" s="2">
        <v>40</v>
      </c>
      <c r="K142" s="2" t="s">
        <v>32</v>
      </c>
      <c r="L142" s="2" t="s">
        <v>33</v>
      </c>
      <c r="M142" s="2">
        <f t="shared" si="12"/>
        <v>0</v>
      </c>
      <c r="N142" s="2">
        <f t="shared" si="13"/>
        <v>0</v>
      </c>
      <c r="O142" s="2">
        <f t="shared" si="14"/>
        <v>1</v>
      </c>
      <c r="P142" s="2" t="s">
        <v>20</v>
      </c>
      <c r="Q142" s="2" t="s">
        <v>35</v>
      </c>
    </row>
    <row r="143" spans="1:17">
      <c r="A143" s="1">
        <v>45497</v>
      </c>
      <c r="B143" s="2" t="s">
        <v>53</v>
      </c>
      <c r="C143" s="2" t="s">
        <v>40</v>
      </c>
      <c r="D143" s="2" t="s">
        <v>16</v>
      </c>
      <c r="E143" s="2" t="s">
        <v>46</v>
      </c>
      <c r="F143" s="2">
        <v>9</v>
      </c>
      <c r="G143" s="2">
        <v>227.15</v>
      </c>
      <c r="H143" s="2">
        <v>2044.35</v>
      </c>
      <c r="I143" s="2">
        <v>1984.35</v>
      </c>
      <c r="J143" s="2">
        <v>60</v>
      </c>
      <c r="K143" s="2" t="s">
        <v>18</v>
      </c>
      <c r="L143" s="2" t="s">
        <v>19</v>
      </c>
      <c r="M143" s="2">
        <f t="shared" si="12"/>
        <v>1</v>
      </c>
      <c r="N143" s="2">
        <f t="shared" si="13"/>
        <v>0</v>
      </c>
      <c r="O143" s="2">
        <f t="shared" si="14"/>
        <v>0</v>
      </c>
      <c r="P143" s="2" t="s">
        <v>27</v>
      </c>
      <c r="Q143" s="2" t="s">
        <v>21</v>
      </c>
    </row>
    <row r="144" spans="1:17">
      <c r="A144" s="1">
        <v>45561</v>
      </c>
      <c r="B144" s="2" t="s">
        <v>55</v>
      </c>
      <c r="C144" s="2" t="s">
        <v>44</v>
      </c>
      <c r="D144" s="2" t="s">
        <v>23</v>
      </c>
      <c r="E144" s="2" t="s">
        <v>31</v>
      </c>
      <c r="F144" s="2">
        <v>7</v>
      </c>
      <c r="G144" s="2">
        <v>459.54</v>
      </c>
      <c r="H144" s="2">
        <v>3216.78</v>
      </c>
      <c r="I144" s="2">
        <v>3151.28</v>
      </c>
      <c r="J144" s="2">
        <v>65.5</v>
      </c>
      <c r="K144" s="2" t="s">
        <v>25</v>
      </c>
      <c r="L144" s="2" t="s">
        <v>19</v>
      </c>
      <c r="M144" s="2">
        <f t="shared" si="12"/>
        <v>1</v>
      </c>
      <c r="N144" s="2">
        <f t="shared" si="13"/>
        <v>0</v>
      </c>
      <c r="O144" s="2">
        <f t="shared" si="14"/>
        <v>0</v>
      </c>
      <c r="P144" s="2" t="s">
        <v>34</v>
      </c>
      <c r="Q144" s="2" t="s">
        <v>28</v>
      </c>
    </row>
    <row r="145" spans="1:17">
      <c r="A145" s="1">
        <v>45617</v>
      </c>
      <c r="B145" s="2" t="s">
        <v>56</v>
      </c>
      <c r="C145" s="2" t="s">
        <v>52</v>
      </c>
      <c r="D145" s="2" t="s">
        <v>42</v>
      </c>
      <c r="E145" s="2" t="s">
        <v>24</v>
      </c>
      <c r="F145" s="2">
        <v>8</v>
      </c>
      <c r="G145" s="2">
        <v>103.76</v>
      </c>
      <c r="H145" s="2">
        <v>830.08</v>
      </c>
      <c r="I145" s="2">
        <v>781.08</v>
      </c>
      <c r="J145" s="2">
        <v>49</v>
      </c>
      <c r="K145" s="2" t="s">
        <v>32</v>
      </c>
      <c r="L145" s="2" t="s">
        <v>26</v>
      </c>
      <c r="M145" s="2">
        <f t="shared" si="12"/>
        <v>0</v>
      </c>
      <c r="N145" s="2">
        <f t="shared" si="13"/>
        <v>1</v>
      </c>
      <c r="O145" s="2">
        <f t="shared" si="14"/>
        <v>0</v>
      </c>
      <c r="P145" s="2" t="s">
        <v>37</v>
      </c>
      <c r="Q145" s="2" t="s">
        <v>35</v>
      </c>
    </row>
    <row r="146" spans="1:17">
      <c r="A146" s="1">
        <v>45529</v>
      </c>
      <c r="B146" s="2" t="s">
        <v>38</v>
      </c>
      <c r="C146" s="2" t="s">
        <v>15</v>
      </c>
      <c r="D146" s="2" t="s">
        <v>23</v>
      </c>
      <c r="E146" s="2" t="s">
        <v>31</v>
      </c>
      <c r="F146" s="2">
        <v>4</v>
      </c>
      <c r="G146" s="2">
        <v>162.47999999999999</v>
      </c>
      <c r="H146" s="2">
        <v>649.91999999999996</v>
      </c>
      <c r="I146" s="2">
        <v>609.91999999999996</v>
      </c>
      <c r="J146" s="2">
        <v>40</v>
      </c>
      <c r="K146" s="2" t="s">
        <v>18</v>
      </c>
      <c r="L146" s="2" t="s">
        <v>19</v>
      </c>
      <c r="M146" s="2">
        <f t="shared" si="12"/>
        <v>1</v>
      </c>
      <c r="N146" s="2">
        <f t="shared" si="13"/>
        <v>0</v>
      </c>
      <c r="O146" s="2">
        <f t="shared" si="14"/>
        <v>0</v>
      </c>
      <c r="P146" s="2" t="s">
        <v>20</v>
      </c>
      <c r="Q146" s="2" t="s">
        <v>21</v>
      </c>
    </row>
    <row r="147" spans="1:17">
      <c r="A147" s="1">
        <v>45334</v>
      </c>
      <c r="B147" s="2" t="s">
        <v>47</v>
      </c>
      <c r="C147" s="2" t="s">
        <v>44</v>
      </c>
      <c r="D147" s="2" t="s">
        <v>16</v>
      </c>
      <c r="E147" s="2" t="s">
        <v>24</v>
      </c>
      <c r="F147" s="2">
        <v>10</v>
      </c>
      <c r="G147" s="2">
        <v>276.17</v>
      </c>
      <c r="H147" s="2">
        <v>2761.7</v>
      </c>
      <c r="I147" s="2">
        <v>2701.7</v>
      </c>
      <c r="J147" s="2">
        <v>60</v>
      </c>
      <c r="K147" s="2" t="s">
        <v>25</v>
      </c>
      <c r="L147" s="2" t="s">
        <v>33</v>
      </c>
      <c r="M147" s="2">
        <f t="shared" si="12"/>
        <v>0</v>
      </c>
      <c r="N147" s="2">
        <f t="shared" si="13"/>
        <v>0</v>
      </c>
      <c r="O147" s="2">
        <f t="shared" si="14"/>
        <v>1</v>
      </c>
      <c r="P147" s="2" t="s">
        <v>27</v>
      </c>
      <c r="Q147" s="2" t="s">
        <v>28</v>
      </c>
    </row>
    <row r="148" spans="1:17">
      <c r="A148" s="1">
        <v>45356</v>
      </c>
      <c r="B148" s="2" t="s">
        <v>60</v>
      </c>
      <c r="C148" s="2" t="s">
        <v>52</v>
      </c>
      <c r="D148" s="2" t="s">
        <v>23</v>
      </c>
      <c r="E148" s="2" t="s">
        <v>17</v>
      </c>
      <c r="F148" s="2">
        <v>1</v>
      </c>
      <c r="G148" s="2">
        <v>154.79</v>
      </c>
      <c r="H148" s="2">
        <v>154.79</v>
      </c>
      <c r="I148" s="2">
        <v>89.289999999999992</v>
      </c>
      <c r="J148" s="2">
        <v>65.5</v>
      </c>
      <c r="K148" s="2" t="s">
        <v>32</v>
      </c>
      <c r="L148" s="2" t="s">
        <v>19</v>
      </c>
      <c r="M148" s="2">
        <f t="shared" si="12"/>
        <v>1</v>
      </c>
      <c r="N148" s="2">
        <f t="shared" si="13"/>
        <v>0</v>
      </c>
      <c r="O148" s="2">
        <f t="shared" si="14"/>
        <v>0</v>
      </c>
      <c r="P148" s="2" t="s">
        <v>34</v>
      </c>
      <c r="Q148" s="2" t="s">
        <v>35</v>
      </c>
    </row>
    <row r="149" spans="1:17">
      <c r="A149" s="1">
        <v>45555</v>
      </c>
      <c r="B149" s="2" t="s">
        <v>14</v>
      </c>
      <c r="C149" s="2" t="s">
        <v>15</v>
      </c>
      <c r="D149" s="2" t="s">
        <v>16</v>
      </c>
      <c r="E149" s="2" t="s">
        <v>46</v>
      </c>
      <c r="F149" s="2">
        <v>6</v>
      </c>
      <c r="G149" s="2">
        <v>482.61</v>
      </c>
      <c r="H149" s="2">
        <v>2895.66</v>
      </c>
      <c r="I149" s="2">
        <v>2846.66</v>
      </c>
      <c r="J149" s="2">
        <v>49</v>
      </c>
      <c r="K149" s="2" t="s">
        <v>18</v>
      </c>
      <c r="L149" s="2" t="s">
        <v>26</v>
      </c>
      <c r="M149" s="2">
        <f t="shared" si="12"/>
        <v>0</v>
      </c>
      <c r="N149" s="2">
        <f t="shared" si="13"/>
        <v>1</v>
      </c>
      <c r="O149" s="2">
        <f t="shared" si="14"/>
        <v>0</v>
      </c>
      <c r="P149" s="2" t="s">
        <v>37</v>
      </c>
      <c r="Q149" s="2" t="s">
        <v>21</v>
      </c>
    </row>
    <row r="150" spans="1:17">
      <c r="A150" s="1">
        <v>45610</v>
      </c>
      <c r="B150" s="2" t="s">
        <v>59</v>
      </c>
      <c r="C150" s="2" t="s">
        <v>30</v>
      </c>
      <c r="D150" s="2" t="s">
        <v>42</v>
      </c>
      <c r="E150" s="2" t="s">
        <v>46</v>
      </c>
      <c r="F150" s="2">
        <v>1</v>
      </c>
      <c r="G150" s="2">
        <v>96.33</v>
      </c>
      <c r="H150" s="2">
        <v>96.33</v>
      </c>
      <c r="I150" s="2">
        <v>56.33</v>
      </c>
      <c r="J150" s="2">
        <v>40</v>
      </c>
      <c r="K150" s="2" t="s">
        <v>25</v>
      </c>
      <c r="L150" s="2" t="s">
        <v>33</v>
      </c>
      <c r="M150" s="2">
        <f t="shared" si="12"/>
        <v>0</v>
      </c>
      <c r="N150" s="2">
        <f t="shared" si="13"/>
        <v>0</v>
      </c>
      <c r="O150" s="2">
        <f t="shared" si="14"/>
        <v>1</v>
      </c>
      <c r="P150" s="2" t="s">
        <v>20</v>
      </c>
      <c r="Q150" s="2" t="s">
        <v>28</v>
      </c>
    </row>
    <row r="151" spans="1:17">
      <c r="A151" s="1">
        <v>45604</v>
      </c>
      <c r="B151" s="2" t="s">
        <v>60</v>
      </c>
      <c r="C151" s="2" t="s">
        <v>52</v>
      </c>
      <c r="D151" s="2" t="s">
        <v>23</v>
      </c>
      <c r="E151" s="2" t="s">
        <v>46</v>
      </c>
      <c r="F151" s="2">
        <v>6</v>
      </c>
      <c r="G151" s="2">
        <v>465.34</v>
      </c>
      <c r="H151" s="2">
        <v>2792.04</v>
      </c>
      <c r="I151" s="2">
        <v>2732.04</v>
      </c>
      <c r="J151" s="2">
        <v>60</v>
      </c>
      <c r="K151" s="2" t="s">
        <v>32</v>
      </c>
      <c r="L151" s="2" t="s">
        <v>19</v>
      </c>
      <c r="M151" s="2">
        <f t="shared" si="12"/>
        <v>1</v>
      </c>
      <c r="N151" s="2">
        <f t="shared" si="13"/>
        <v>0</v>
      </c>
      <c r="O151" s="2">
        <f t="shared" si="14"/>
        <v>0</v>
      </c>
      <c r="P151" s="2" t="s">
        <v>27</v>
      </c>
      <c r="Q151" s="2" t="s">
        <v>35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A6370C43-EEB9-415D-ACD5-26A294F661F0}">
  <ds:schemaRefs/>
</ds:datastoreItem>
</file>

<file path=customXml/itemProps2.xml><?xml version="1.0" encoding="utf-8"?>
<ds:datastoreItem xmlns:ds="http://schemas.openxmlformats.org/officeDocument/2006/customXml" ds:itemID="{D26277AA-22B1-4E37-B5B8-6A5292562737}">
  <ds:schemaRefs/>
</ds:datastoreItem>
</file>

<file path=customXml/itemProps3.xml><?xml version="1.0" encoding="utf-8"?>
<ds:datastoreItem xmlns:ds="http://schemas.openxmlformats.org/officeDocument/2006/customXml" ds:itemID="{3D78C845-5EE8-432A-833B-CD4AAF1919B5}">
  <ds:schemaRefs/>
</ds:datastoreItem>
</file>

<file path=customXml/itemProps4.xml><?xml version="1.0" encoding="utf-8"?>
<ds:datastoreItem xmlns:ds="http://schemas.openxmlformats.org/officeDocument/2006/customXml" ds:itemID="{353B8490-E889-4BED-9CEF-83D489BF251A}">
  <ds:schemaRefs/>
</ds:datastoreItem>
</file>

<file path=customXml/itemProps5.xml><?xml version="1.0" encoding="utf-8"?>
<ds:datastoreItem xmlns:ds="http://schemas.openxmlformats.org/officeDocument/2006/customXml" ds:itemID="{45AAC7E0-03B4-4BA6-816C-5DB3ED3D08E0}">
  <ds:schemaRefs/>
</ds:datastoreItem>
</file>

<file path=customXml/itemProps6.xml><?xml version="1.0" encoding="utf-8"?>
<ds:datastoreItem xmlns:ds="http://schemas.openxmlformats.org/officeDocument/2006/customXml" ds:itemID="{8B2227F0-280D-4523-ADB4-8C50771D884E}">
  <ds:schemaRefs/>
</ds:datastoreItem>
</file>

<file path=customXml/itemProps7.xml><?xml version="1.0" encoding="utf-8"?>
<ds:datastoreItem xmlns:ds="http://schemas.openxmlformats.org/officeDocument/2006/customXml" ds:itemID="{FF0B16B8-35AC-4670-9377-89EE3A655A74}">
  <ds:schemaRefs/>
</ds:datastoreItem>
</file>

<file path=customXml/itemProps8.xml><?xml version="1.0" encoding="utf-8"?>
<ds:datastoreItem xmlns:ds="http://schemas.openxmlformats.org/officeDocument/2006/customXml" ds:itemID="{5DB75FC0-8542-4E66-B7C3-147A9DF090BF}">
  <ds:schemaRefs/>
</ds:datastoreItem>
</file>

<file path=customXml/itemProps9.xml><?xml version="1.0" encoding="utf-8"?>
<ds:datastoreItem xmlns:ds="http://schemas.openxmlformats.org/officeDocument/2006/customXml" ds:itemID="{318987EF-E32B-4D6F-8FB9-BF950D64A4EE}">
  <ds:schemaRefs/>
</ds:datastoreItem>
</file>

<file path=customXml/itemProps10.xml><?xml version="1.0" encoding="utf-8"?>
<ds:datastoreItem xmlns:ds="http://schemas.openxmlformats.org/officeDocument/2006/customXml" ds:itemID="{38C542F2-220B-4C69-9090-5A0E86D76789}">
  <ds:schemaRefs/>
</ds:datastoreItem>
</file>

<file path=customXml/itemProps11.xml><?xml version="1.0" encoding="utf-8"?>
<ds:datastoreItem xmlns:ds="http://schemas.openxmlformats.org/officeDocument/2006/customXml" ds:itemID="{ED350219-4DAC-4B38-867E-A7709A07431B}">
  <ds:schemaRefs/>
</ds:datastoreItem>
</file>

<file path=customXml/itemProps12.xml><?xml version="1.0" encoding="utf-8"?>
<ds:datastoreItem xmlns:ds="http://schemas.openxmlformats.org/officeDocument/2006/customXml" ds:itemID="{B356611C-C12B-4650-923F-4B7FBC0D95D2}">
  <ds:schemaRefs/>
</ds:datastoreItem>
</file>

<file path=customXml/itemProps13.xml><?xml version="1.0" encoding="utf-8"?>
<ds:datastoreItem xmlns:ds="http://schemas.openxmlformats.org/officeDocument/2006/customXml" ds:itemID="{DDC2531F-E087-4F5E-B714-C520F3107FB8}">
  <ds:schemaRefs/>
</ds:datastoreItem>
</file>

<file path=customXml/itemProps14.xml><?xml version="1.0" encoding="utf-8"?>
<ds:datastoreItem xmlns:ds="http://schemas.openxmlformats.org/officeDocument/2006/customXml" ds:itemID="{E93E82FA-B914-4C6F-8EA2-F07280B1683E}">
  <ds:schemaRefs/>
</ds:datastoreItem>
</file>

<file path=customXml/itemProps15.xml><?xml version="1.0" encoding="utf-8"?>
<ds:datastoreItem xmlns:ds="http://schemas.openxmlformats.org/officeDocument/2006/customXml" ds:itemID="{D9460680-92FB-4358-A20C-30AE0B3775F4}">
  <ds:schemaRefs/>
</ds:datastoreItem>
</file>

<file path=customXml/itemProps16.xml><?xml version="1.0" encoding="utf-8"?>
<ds:datastoreItem xmlns:ds="http://schemas.openxmlformats.org/officeDocument/2006/customXml" ds:itemID="{D800267B-88F4-4A70-86B0-1965B3C41AF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Medgo Digital Marketing Manager</dc:creator>
  <cp:lastModifiedBy>Abdussomad Isa</cp:lastModifiedBy>
  <dcterms:created xsi:type="dcterms:W3CDTF">2025-10-10T21:38:54Z</dcterms:created>
  <dcterms:modified xsi:type="dcterms:W3CDTF">2026-10-11T19:22:55Z</dcterms:modified>
</cp:coreProperties>
</file>